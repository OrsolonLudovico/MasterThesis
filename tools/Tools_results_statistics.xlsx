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TARs speed" sheetId="1" r:id="rId5"/>
    <sheet state="visible" name="Reindeer2" sheetId="2" r:id="rId6"/>
    <sheet state="visible" name="Fulgor" sheetId="3" r:id="rId7"/>
    <sheet state="visible" name="GGCAT" sheetId="4" r:id="rId8"/>
    <sheet state="visible" name="Mash" sheetId="5" r:id="rId9"/>
  </sheets>
  <definedNames/>
  <calcPr/>
</workbook>
</file>

<file path=xl/sharedStrings.xml><?xml version="1.0" encoding="utf-8"?>
<sst xmlns="http://schemas.openxmlformats.org/spreadsheetml/2006/main" count="230" uniqueCount="96">
  <si>
    <t>Name</t>
  </si>
  <si>
    <t>Size [GB]</t>
  </si>
  <si>
    <t># files</t>
  </si>
  <si>
    <t>Time</t>
  </si>
  <si>
    <t>Human Gut Reads</t>
  </si>
  <si>
    <t>Salm1 Ass</t>
  </si>
  <si>
    <t>Human Gen Reads</t>
  </si>
  <si>
    <t>Salm2 Ass</t>
  </si>
  <si>
    <t>Human Gut Ass</t>
  </si>
  <si>
    <t>Total time Reads</t>
  </si>
  <si>
    <t>total time unitigs</t>
  </si>
  <si>
    <t>total time comp</t>
  </si>
  <si>
    <t>speedup rate wrt reads</t>
  </si>
  <si>
    <t>speedup rate wrt unitigs</t>
  </si>
  <si>
    <t>Human Gen.</t>
  </si>
  <si>
    <t>1h 25m 9s</t>
  </si>
  <si>
    <t>22m 42s</t>
  </si>
  <si>
    <t>26m 53s</t>
  </si>
  <si>
    <t>Human Gut Bact.</t>
  </si>
  <si>
    <t>6h 6m 31s</t>
  </si>
  <si>
    <t>50m 02s</t>
  </si>
  <si>
    <t>66m 08s</t>
  </si>
  <si>
    <t>Salmonella</t>
  </si>
  <si>
    <t>1h 47m 37s</t>
  </si>
  <si>
    <t>38m 55s</t>
  </si>
  <si>
    <t>38m 45s</t>
  </si>
  <si>
    <t>E. Coli</t>
  </si>
  <si>
    <t>2h 14m 49s</t>
  </si>
  <si>
    <t>59m 9s</t>
  </si>
  <si>
    <t>60m 23s</t>
  </si>
  <si>
    <t>Drosophila</t>
  </si>
  <si>
    <t>34m 11s</t>
  </si>
  <si>
    <t>14m 55s</t>
  </si>
  <si>
    <t>31m 04s</t>
  </si>
  <si>
    <t>Time (No compression)</t>
  </si>
  <si>
    <t>21m 57s</t>
  </si>
  <si>
    <t>49m 22s</t>
  </si>
  <si>
    <t>34m 12s</t>
  </si>
  <si>
    <t>56m 44s</t>
  </si>
  <si>
    <t>14m 54s</t>
  </si>
  <si>
    <t>Space</t>
  </si>
  <si>
    <t>Total space reads GB</t>
  </si>
  <si>
    <t>total space unitigs GB</t>
  </si>
  <si>
    <t>Total space comp GB</t>
  </si>
  <si>
    <t>Space needed wrt Reads</t>
  </si>
  <si>
    <t>space needed wrt unitigs</t>
  </si>
  <si>
    <t xml:space="preserve"> </t>
  </si>
  <si>
    <t>19m 10s</t>
  </si>
  <si>
    <t>3m 31s</t>
  </si>
  <si>
    <t>8m 20s</t>
  </si>
  <si>
    <t>1h 19m 38s</t>
  </si>
  <si>
    <t>12m 16s</t>
  </si>
  <si>
    <t>27m 2s</t>
  </si>
  <si>
    <t>25m 42s</t>
  </si>
  <si>
    <t>3m 40s</t>
  </si>
  <si>
    <t>7m 54s</t>
  </si>
  <si>
    <t>1h 24m 35s</t>
  </si>
  <si>
    <t>14m 3s</t>
  </si>
  <si>
    <t>16m 49s</t>
  </si>
  <si>
    <t>27m 51s</t>
  </si>
  <si>
    <t>3m 12s</t>
  </si>
  <si>
    <t>19m 18s</t>
  </si>
  <si>
    <t>3m 25s</t>
  </si>
  <si>
    <t>3m 21s</t>
  </si>
  <si>
    <t>13m 10s</t>
  </si>
  <si>
    <t>3m 08s</t>
  </si>
  <si>
    <t>59m 03s</t>
  </si>
  <si>
    <t>19m 34s</t>
  </si>
  <si>
    <t>4h 52m 6s</t>
  </si>
  <si>
    <t>45m 33s</t>
  </si>
  <si>
    <t>1h 12m 9s</t>
  </si>
  <si>
    <t>38m 57s</t>
  </si>
  <si>
    <t>49m 41s</t>
  </si>
  <si>
    <t>12m 40s</t>
  </si>
  <si>
    <t>12m 24s</t>
  </si>
  <si>
    <t>18m 13s</t>
  </si>
  <si>
    <t>14m 39s</t>
  </si>
  <si>
    <t>30m 47s</t>
  </si>
  <si>
    <t>34m 24s</t>
  </si>
  <si>
    <t>8m 01s</t>
  </si>
  <si>
    <t>2m 03s</t>
  </si>
  <si>
    <t>9m 17s</t>
  </si>
  <si>
    <t>5m 21s</t>
  </si>
  <si>
    <t>41m 43s</t>
  </si>
  <si>
    <t>15m 48s</t>
  </si>
  <si>
    <t>14m 5s</t>
  </si>
  <si>
    <t>5m 5s</t>
  </si>
  <si>
    <t>38m 35s</t>
  </si>
  <si>
    <t>4m 6s</t>
  </si>
  <si>
    <t>9m 40s</t>
  </si>
  <si>
    <t>16m 24s</t>
  </si>
  <si>
    <t>26s</t>
  </si>
  <si>
    <t>1m 2s</t>
  </si>
  <si>
    <t>32s</t>
  </si>
  <si>
    <t>27s</t>
  </si>
  <si>
    <t>14s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</si>
</sst>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.ss"/>
    <numFmt numFmtId="165" formatCode="[h].mm.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4" numFmtId="9" xfId="0" applyAlignment="1" applyFont="1" applyNumberForma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right" readingOrder="0"/>
    </xf>
    <xf borderId="0" fillId="0" fontId="0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1" numFmtId="0" xfId="0" applyFont="1"/>
    <xf borderId="0" fillId="0" fontId="6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10" xfId="0" applyFont="1" applyNumberFormat="1"/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wrapText="1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'USTARs speed'!$B$1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'USTARs speed'!$D$2:$D$6</c:f>
            </c:strRef>
          </c:cat>
          <c:val>
            <c:numRef>
              <c:f>'USTARs speed'!$B$2:$B$6</c:f>
              <c:numCache/>
            </c:numRef>
          </c:val>
          <c:smooth val="0"/>
        </c:ser>
        <c:axId val="587549116"/>
        <c:axId val="2027709724"/>
      </c:lineChart>
      <c:catAx>
        <c:axId val="58754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[hours]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709724"/>
      </c:catAx>
      <c:valAx>
        <c:axId val="2027709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[GB]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49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Reindeer2!$A$2:$A$6</c:f>
            </c:strRef>
          </c:cat>
          <c:val>
            <c:numRef>
              <c:f>Reindeer2!$E$2:$E$6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Reindeer2!$A$2:$A$6</c:f>
            </c:strRef>
          </c:cat>
          <c:val>
            <c:numRef>
              <c:f>Reindeer2!$F$2:$F$6</c:f>
              <c:numCache/>
            </c:numRef>
          </c:val>
        </c:ser>
        <c:axId val="270489047"/>
        <c:axId val="842867937"/>
      </c:barChart>
      <c:catAx>
        <c:axId val="27048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867937"/>
      </c:catAx>
      <c:valAx>
        <c:axId val="842867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489047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Reindeer2!$A$20:$A$24</c:f>
            </c:strRef>
          </c:cat>
          <c:val>
            <c:numRef>
              <c:f>Reindeer2!$E$20:$E$24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Reindeer2!$A$20:$A$24</c:f>
            </c:strRef>
          </c:cat>
          <c:val>
            <c:numRef>
              <c:f>Reindeer2!$F$20:$F$24</c:f>
              <c:numCache/>
            </c:numRef>
          </c:val>
        </c:ser>
        <c:axId val="1526296463"/>
        <c:axId val="1264362825"/>
      </c:barChart>
      <c:catAx>
        <c:axId val="1526296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362825"/>
      </c:catAx>
      <c:valAx>
        <c:axId val="126436282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296463"/>
        <c:majorUnit val="0.1"/>
        <c:minorUnit val="0.0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Reindeer2!$A$10:$A$14</c:f>
            </c:strRef>
          </c:cat>
          <c:val>
            <c:numRef>
              <c:f>Reindeer2!$E$10:$E$14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Reindeer2!$A$10:$A$14</c:f>
            </c:strRef>
          </c:cat>
          <c:val>
            <c:numRef>
              <c:f>Reindeer2!$F$10:$F$14</c:f>
              <c:numCache/>
            </c:numRef>
          </c:val>
        </c:ser>
        <c:axId val="1779145597"/>
        <c:axId val="110385994"/>
      </c:barChart>
      <c:catAx>
        <c:axId val="1779145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85994"/>
      </c:catAx>
      <c:valAx>
        <c:axId val="110385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45597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Fulgor!$A$2:$A$6</c:f>
            </c:strRef>
          </c:cat>
          <c:val>
            <c:numRef>
              <c:f>Fulgor!$E$2:$E$6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Fulgor!$A$2:$A$6</c:f>
            </c:strRef>
          </c:cat>
          <c:val>
            <c:numRef>
              <c:f>Fulgor!$F$2:$F$6</c:f>
              <c:numCache/>
            </c:numRef>
          </c:val>
        </c:ser>
        <c:axId val="259079201"/>
        <c:axId val="61982480"/>
      </c:barChart>
      <c:catAx>
        <c:axId val="259079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82480"/>
      </c:catAx>
      <c:valAx>
        <c:axId val="61982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079201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Fulgor!$A$10:$A$14</c:f>
            </c:strRef>
          </c:cat>
          <c:val>
            <c:numRef>
              <c:f>Fulgor!$E$10:$E$14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Fulgor!$A$10:$A$14</c:f>
            </c:strRef>
          </c:cat>
          <c:val>
            <c:numRef>
              <c:f>Fulgor!$F$10:$F$14</c:f>
              <c:numCache/>
            </c:numRef>
          </c:val>
        </c:ser>
        <c:axId val="1024787247"/>
        <c:axId val="1525890056"/>
      </c:barChart>
      <c:catAx>
        <c:axId val="102478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90056"/>
      </c:catAx>
      <c:valAx>
        <c:axId val="1525890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787247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Fulgor!$A$20:$A$24</c:f>
            </c:strRef>
          </c:cat>
          <c:val>
            <c:numRef>
              <c:f>Fulgor!$E$20:$E$24</c:f>
              <c:numCache/>
            </c:numRef>
          </c:val>
        </c:ser>
        <c:ser>
          <c:idx val="1"/>
          <c:order val="1"/>
          <c:tx>
            <c:v>w.r.t. unitigs dataset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Fulgor!$A$20:$A$24</c:f>
            </c:strRef>
          </c:cat>
          <c:val>
            <c:numRef>
              <c:f>Fulgor!$F$20:$F$24</c:f>
              <c:numCache/>
            </c:numRef>
          </c:val>
        </c:ser>
        <c:axId val="1815353202"/>
        <c:axId val="233173545"/>
      </c:barChart>
      <c:catAx>
        <c:axId val="181535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173545"/>
      </c:catAx>
      <c:valAx>
        <c:axId val="23317354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353202"/>
        <c:majorUnit val="0.1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GGCAT!$A$2:$A$6</c:f>
            </c:strRef>
          </c:cat>
          <c:val>
            <c:numRef>
              <c:f>GGCAT!$D$2:$D$6</c:f>
              <c:numCache/>
            </c:numRef>
          </c:val>
        </c:ser>
        <c:axId val="414896423"/>
        <c:axId val="2121844834"/>
      </c:barChart>
      <c:catAx>
        <c:axId val="414896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844834"/>
      </c:catAx>
      <c:valAx>
        <c:axId val="2121844834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896423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GGCAT!$A$10:$A$14</c:f>
            </c:strRef>
          </c:cat>
          <c:val>
            <c:numRef>
              <c:f>GGCAT!$D$10:$D$14</c:f>
              <c:numCache/>
            </c:numRef>
          </c:val>
        </c:ser>
        <c:axId val="1149507197"/>
        <c:axId val="22792051"/>
      </c:barChart>
      <c:catAx>
        <c:axId val="1149507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92051"/>
      </c:catAx>
      <c:valAx>
        <c:axId val="22792051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507197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GGCAT!$A$18:$A$22</c:f>
            </c:strRef>
          </c:cat>
          <c:val>
            <c:numRef>
              <c:f>GGCAT!$D$18:$D$22</c:f>
              <c:numCache/>
            </c:numRef>
          </c:val>
        </c:ser>
        <c:axId val="84941487"/>
        <c:axId val="163901564"/>
      </c:barChart>
      <c:catAx>
        <c:axId val="8494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01564"/>
      </c:catAx>
      <c:valAx>
        <c:axId val="163901564"/>
        <c:scaling>
          <c:orientation val="minMax"/>
          <c:max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41487"/>
        <c:majorUnit val="0.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Mash!$A$2:$A$6</c:f>
            </c:strRef>
          </c:cat>
          <c:val>
            <c:numRef>
              <c:f>Mash!$D$2:$D$6</c:f>
              <c:numCache/>
            </c:numRef>
          </c:val>
        </c:ser>
        <c:axId val="1202708808"/>
        <c:axId val="561000788"/>
      </c:barChart>
      <c:catAx>
        <c:axId val="1202708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000788"/>
      </c:catAx>
      <c:valAx>
        <c:axId val="561000788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08808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Mash!$A$10:$A$14</c:f>
            </c:strRef>
          </c:cat>
          <c:val>
            <c:numRef>
              <c:f>Mash!$D$10:$D$14</c:f>
              <c:numCache/>
            </c:numRef>
          </c:val>
        </c:ser>
        <c:axId val="1868037984"/>
        <c:axId val="51687148"/>
      </c:barChart>
      <c:catAx>
        <c:axId val="186803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87148"/>
      </c:catAx>
      <c:valAx>
        <c:axId val="51687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 rate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037984"/>
        <c:majorUnit val="5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w.r.t reads dataset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Mash!$A$18:$A$22</c:f>
            </c:strRef>
          </c:cat>
          <c:val>
            <c:numRef>
              <c:f>Mash!$D$18:$D$22</c:f>
              <c:numCache/>
            </c:numRef>
          </c:val>
        </c:ser>
        <c:axId val="986252903"/>
        <c:axId val="943444321"/>
      </c:barChart>
      <c:catAx>
        <c:axId val="986252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444321"/>
      </c:catAx>
      <c:valAx>
        <c:axId val="94344432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Computational space need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252903"/>
        <c:majorUnit val="0.01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7</xdr:row>
      <xdr:rowOff>152400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161925</xdr:rowOff>
    </xdr:from>
    <xdr:ext cx="5715000" cy="35337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24</xdr:row>
      <xdr:rowOff>161925</xdr:rowOff>
    </xdr:from>
    <xdr:ext cx="5715000" cy="353377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24</xdr:row>
      <xdr:rowOff>161925</xdr:rowOff>
    </xdr:from>
    <xdr:ext cx="5715000" cy="35337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5715000" cy="353377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495300</xdr:colOff>
      <xdr:row>24</xdr:row>
      <xdr:rowOff>28575</xdr:rowOff>
    </xdr:from>
    <xdr:ext cx="5715000" cy="353377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962025</xdr:colOff>
      <xdr:row>24</xdr:row>
      <xdr:rowOff>28575</xdr:rowOff>
    </xdr:from>
    <xdr:ext cx="5715000" cy="35337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133350</xdr:rowOff>
    </xdr:from>
    <xdr:ext cx="5715000" cy="3533775"/>
    <xdr:graphicFrame>
      <xdr:nvGraphicFramePr>
        <xdr:cNvPr id="8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952500</xdr:colOff>
      <xdr:row>22</xdr:row>
      <xdr:rowOff>133350</xdr:rowOff>
    </xdr:from>
    <xdr:ext cx="5715000" cy="3533775"/>
    <xdr:graphicFrame>
      <xdr:nvGraphicFramePr>
        <xdr:cNvPr id="9" name="Chart 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295275</xdr:colOff>
      <xdr:row>22</xdr:row>
      <xdr:rowOff>133350</xdr:rowOff>
    </xdr:from>
    <xdr:ext cx="5715000" cy="3533775"/>
    <xdr:graphicFrame>
      <xdr:nvGraphicFramePr>
        <xdr:cNvPr id="10" name="Chart 10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57150</xdr:rowOff>
    </xdr:from>
    <xdr:ext cx="5715000" cy="3533775"/>
    <xdr:graphicFrame>
      <xdr:nvGraphicFramePr>
        <xdr:cNvPr id="11" name="Chart 1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1028700</xdr:colOff>
      <xdr:row>22</xdr:row>
      <xdr:rowOff>57150</xdr:rowOff>
    </xdr:from>
    <xdr:ext cx="5715000" cy="3533775"/>
    <xdr:graphicFrame>
      <xdr:nvGraphicFramePr>
        <xdr:cNvPr id="12" name="Chart 1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22</xdr:row>
      <xdr:rowOff>57150</xdr:rowOff>
    </xdr:from>
    <xdr:ext cx="5715000" cy="3533775"/>
    <xdr:graphicFrame>
      <xdr:nvGraphicFramePr>
        <xdr:cNvPr id="13" name="Chart 1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7" max="7" width="39.0"/>
    <col customWidth="1" min="8" max="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29.81</v>
      </c>
      <c r="C2" s="1">
        <v>18.0</v>
      </c>
      <c r="D2" s="2">
        <v>0.3240277777777778</v>
      </c>
      <c r="K2" s="2"/>
    </row>
    <row r="3">
      <c r="A3" s="1" t="s">
        <v>5</v>
      </c>
      <c r="B3" s="1">
        <v>21.94</v>
      </c>
      <c r="C3" s="1">
        <v>4589.0</v>
      </c>
      <c r="D3" s="3">
        <v>0.7715277777777778</v>
      </c>
      <c r="K3" s="3"/>
    </row>
    <row r="4">
      <c r="A4" s="1" t="s">
        <v>6</v>
      </c>
      <c r="B4" s="1">
        <v>251.261</v>
      </c>
      <c r="C4" s="1">
        <v>70.0</v>
      </c>
      <c r="D4" s="3">
        <v>1.5016435185185186</v>
      </c>
      <c r="K4" s="3"/>
    </row>
    <row r="5">
      <c r="A5" s="1" t="s">
        <v>7</v>
      </c>
      <c r="B5" s="1">
        <v>47.13</v>
      </c>
      <c r="C5" s="1">
        <v>10000.0</v>
      </c>
      <c r="D5" s="3">
        <v>1.6444444444444444</v>
      </c>
      <c r="K5" s="3"/>
    </row>
    <row r="6">
      <c r="A6" s="1" t="s">
        <v>8</v>
      </c>
      <c r="B6" s="1">
        <v>126.79</v>
      </c>
      <c r="C6" s="1">
        <v>3396.0</v>
      </c>
      <c r="D6" s="3">
        <v>1.9493055555555556</v>
      </c>
      <c r="K6" s="3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7.38"/>
    <col customWidth="1" min="3" max="3" width="32.75"/>
    <col customWidth="1" min="4" max="4" width="17.25"/>
    <col customWidth="1" min="5" max="5" width="31.38"/>
    <col customWidth="1" min="6" max="6" width="20.0"/>
    <col customWidth="1" min="7" max="7" width="20.38"/>
    <col customWidth="1" min="8" max="8" width="16.38"/>
    <col customWidth="1" min="9" max="9" width="12.5"/>
    <col customWidth="1" min="10" max="10" width="15.75"/>
    <col customWidth="1" min="14" max="14" width="14.0"/>
    <col customWidth="1" min="15" max="15" width="14.13"/>
    <col customWidth="1" min="16" max="16" width="13.38"/>
    <col customWidth="1" min="17" max="17" width="14.0"/>
  </cols>
  <sheetData>
    <row r="1">
      <c r="A1" s="5" t="s">
        <v>3</v>
      </c>
      <c r="B1" s="6" t="s">
        <v>9</v>
      </c>
      <c r="C1" s="6" t="s">
        <v>10</v>
      </c>
      <c r="D1" s="6" t="s">
        <v>11</v>
      </c>
      <c r="E1" s="1" t="s">
        <v>12</v>
      </c>
      <c r="F1" s="1" t="s">
        <v>13</v>
      </c>
      <c r="G1" s="7"/>
      <c r="H1" s="8"/>
      <c r="I1" s="8"/>
      <c r="J1" s="8"/>
      <c r="K1" s="8"/>
    </row>
    <row r="2">
      <c r="A2" s="6" t="s">
        <v>14</v>
      </c>
      <c r="B2" s="9" t="s">
        <v>15</v>
      </c>
      <c r="C2" s="9" t="s">
        <v>16</v>
      </c>
      <c r="D2" s="6" t="s">
        <v>17</v>
      </c>
      <c r="E2" s="10">
        <f>IFERROR(__xludf.DUMMYFUNCTION("ROUND((IFERROR(VALUE(REGEXEXTRACT(B2,""(\d+)h""))*3600,0)+IFERROR(VALUE(REGEXEXTRACT(B2,""(\d+)m""))*60,0)+IFERROR(VALUE(REGEXEXTRACT(B2,""(\d+)s"")),0))/(IFERROR(VALUE(REGEXEXTRACT(D2,""(\d+)h""))*3600,0)+IFERROR(VALUE(REGEXEXTRACT(D2,""(\d+)m""))*60,0)+"&amp;"IFERROR(VALUE(REGEXEXTRACT(D2,""(\d+)s"")),0)),4)"),3.1674)</f>
        <v>3.1674</v>
      </c>
      <c r="F2" s="10">
        <f>IFERROR(__xludf.DUMMYFUNCTION("ROUND((IFERROR(VALUE(REGEXEXTRACT(C2,""(\d+)h""))*3600,0)+IFERROR(VALUE(REGEXEXTRACT(C2,""(\d+)m""))*60,0)+IFERROR(VALUE(REGEXEXTRACT(C2,""(\d+)s"")),0))/(IFERROR(VALUE(REGEXEXTRACT(D2,""(\d+)h""))*3600,0)+IFERROR(VALUE(REGEXEXTRACT(D2,""(\d+)m""))*60,0)+"&amp;"IFERROR(VALUE(REGEXEXTRACT(D2,""(\d+)s"")),0)),4)"),0.8444)</f>
        <v>0.8444</v>
      </c>
      <c r="H2" s="8"/>
      <c r="I2" s="8"/>
      <c r="J2" s="8"/>
      <c r="K2" s="8"/>
    </row>
    <row r="3">
      <c r="A3" s="6" t="s">
        <v>18</v>
      </c>
      <c r="B3" s="9" t="s">
        <v>19</v>
      </c>
      <c r="C3" s="9" t="s">
        <v>20</v>
      </c>
      <c r="D3" s="6" t="s">
        <v>21</v>
      </c>
      <c r="E3" s="10">
        <f>IFERROR(__xludf.DUMMYFUNCTION("ROUND((IFERROR(VALUE(REGEXEXTRACT(B3,""(\d+)h""))*3600,0)+IFERROR(VALUE(REGEXEXTRACT(B3,""(\d+)m""))*60,0)+IFERROR(VALUE(REGEXEXTRACT(B3,""(\d+)s"")),0))/(IFERROR(VALUE(REGEXEXTRACT(D3,""(\d+)h""))*3600,0)+IFERROR(VALUE(REGEXEXTRACT(D3,""(\d+)m""))*60,0)+"&amp;"IFERROR(VALUE(REGEXEXTRACT(D3,""(\d+)s"")),0)),4)"),5.5421)</f>
        <v>5.5421</v>
      </c>
      <c r="F3" s="10">
        <f>IFERROR(__xludf.DUMMYFUNCTION("ROUND((IFERROR(VALUE(REGEXEXTRACT(C3,""(\d+)h""))*3600,0)+IFERROR(VALUE(REGEXEXTRACT(C3,""(\d+)m""))*60,0)+IFERROR(VALUE(REGEXEXTRACT(C3,""(\d+)s"")),0))/(IFERROR(VALUE(REGEXEXTRACT(D3,""(\d+)h""))*3600,0)+IFERROR(VALUE(REGEXEXTRACT(D3,""(\d+)m""))*60,0)+"&amp;"IFERROR(VALUE(REGEXEXTRACT(D3,""(\d+)s"")),0)),4)"),0.7566)</f>
        <v>0.7566</v>
      </c>
      <c r="H3" s="8"/>
      <c r="I3" s="8"/>
      <c r="J3" s="8"/>
      <c r="K3" s="8"/>
    </row>
    <row r="4">
      <c r="A4" s="6" t="s">
        <v>22</v>
      </c>
      <c r="B4" s="9" t="s">
        <v>23</v>
      </c>
      <c r="C4" s="9" t="s">
        <v>24</v>
      </c>
      <c r="D4" s="6" t="s">
        <v>25</v>
      </c>
      <c r="E4" s="10">
        <f>IFERROR(__xludf.DUMMYFUNCTION("ROUND((IFERROR(VALUE(REGEXEXTRACT(B4,""(\d+)h""))*3600,0)+IFERROR(VALUE(REGEXEXTRACT(B4,""(\d+)m""))*60,0)+IFERROR(VALUE(REGEXEXTRACT(B4,""(\d+)s"")),0))/(IFERROR(VALUE(REGEXEXTRACT(D4,""(\d+)h""))*3600,0)+IFERROR(VALUE(REGEXEXTRACT(D4,""(\d+)m""))*60,0)+"&amp;"IFERROR(VALUE(REGEXEXTRACT(D4,""(\d+)s"")),0)),4)"),2.7772)</f>
        <v>2.7772</v>
      </c>
      <c r="F4" s="10">
        <f>IFERROR(__xludf.DUMMYFUNCTION("ROUND((IFERROR(VALUE(REGEXEXTRACT(C4,""(\d+)h""))*3600,0)+IFERROR(VALUE(REGEXEXTRACT(C4,""(\d+)m""))*60,0)+IFERROR(VALUE(REGEXEXTRACT(C4,""(\d+)s"")),0))/(IFERROR(VALUE(REGEXEXTRACT(D4,""(\d+)h""))*3600,0)+IFERROR(VALUE(REGEXEXTRACT(D4,""(\d+)m""))*60,0)+"&amp;"IFERROR(VALUE(REGEXEXTRACT(D4,""(\d+)s"")),0)),4)"),1.0043)</f>
        <v>1.0043</v>
      </c>
      <c r="H4" s="8"/>
      <c r="I4" s="8"/>
      <c r="J4" s="8"/>
      <c r="K4" s="8"/>
    </row>
    <row r="5">
      <c r="A5" s="6" t="s">
        <v>26</v>
      </c>
      <c r="B5" s="9" t="s">
        <v>27</v>
      </c>
      <c r="C5" s="9" t="s">
        <v>28</v>
      </c>
      <c r="D5" s="6" t="s">
        <v>29</v>
      </c>
      <c r="E5" s="10">
        <f>IFERROR(__xludf.DUMMYFUNCTION("ROUND((IFERROR(VALUE(REGEXEXTRACT(B5,""(\d+)h""))*3600,0)+IFERROR(VALUE(REGEXEXTRACT(B5,""(\d+)m""))*60,0)+IFERROR(VALUE(REGEXEXTRACT(B5,""(\d+)s"")),0))/(IFERROR(VALUE(REGEXEXTRACT(D5,""(\d+)h""))*3600,0)+IFERROR(VALUE(REGEXEXTRACT(D5,""(\d+)m""))*60,0)+"&amp;"IFERROR(VALUE(REGEXEXTRACT(D5,""(\d+)s"")),0)),4)"),2.2327)</f>
        <v>2.2327</v>
      </c>
      <c r="F5" s="10">
        <f>IFERROR(__xludf.DUMMYFUNCTION("ROUND((IFERROR(VALUE(REGEXEXTRACT(C5,""(\d+)h""))*3600,0)+IFERROR(VALUE(REGEXEXTRACT(C5,""(\d+)m""))*60,0)+IFERROR(VALUE(REGEXEXTRACT(C5,""(\d+)s"")),0))/(IFERROR(VALUE(REGEXEXTRACT(D5,""(\d+)h""))*3600,0)+IFERROR(VALUE(REGEXEXTRACT(D5,""(\d+)m""))*60,0)+"&amp;"IFERROR(VALUE(REGEXEXTRACT(D5,""(\d+)s"")),0)),4)"),0.9796)</f>
        <v>0.9796</v>
      </c>
      <c r="G5" s="11"/>
    </row>
    <row r="6">
      <c r="A6" s="6" t="s">
        <v>30</v>
      </c>
      <c r="B6" s="9" t="s">
        <v>31</v>
      </c>
      <c r="C6" s="9" t="s">
        <v>32</v>
      </c>
      <c r="D6" s="6" t="s">
        <v>33</v>
      </c>
      <c r="E6" s="10">
        <f>IFERROR(__xludf.DUMMYFUNCTION("ROUND((IFERROR(VALUE(REGEXEXTRACT(B6,""(\d+)h""))*3600,0)+IFERROR(VALUE(REGEXEXTRACT(B6,""(\d+)m""))*60,0)+IFERROR(VALUE(REGEXEXTRACT(B6,""(\d+)s"")),0))/(IFERROR(VALUE(REGEXEXTRACT(D6,""(\d+)h""))*3600,0)+IFERROR(VALUE(REGEXEXTRACT(D6,""(\d+)m""))*60,0)+"&amp;"IFERROR(VALUE(REGEXEXTRACT(D6,""(\d+)s"")),0)),4)"),1.1003)</f>
        <v>1.1003</v>
      </c>
      <c r="F6" s="10">
        <f>IFERROR(__xludf.DUMMYFUNCTION("ROUND((IFERROR(VALUE(REGEXEXTRACT(C6,""(\d+)h""))*3600,0)+IFERROR(VALUE(REGEXEXTRACT(C6,""(\d+)m""))*60,0)+IFERROR(VALUE(REGEXEXTRACT(C6,""(\d+)s"")),0))/(IFERROR(VALUE(REGEXEXTRACT(D6,""(\d+)h""))*3600,0)+IFERROR(VALUE(REGEXEXTRACT(D6,""(\d+)m""))*60,0)+"&amp;"IFERROR(VALUE(REGEXEXTRACT(D6,""(\d+)s"")),0)),4)"),0.4802)</f>
        <v>0.4802</v>
      </c>
      <c r="G6" s="11"/>
      <c r="H6" s="8"/>
      <c r="I6" s="8"/>
      <c r="J6" s="8"/>
      <c r="K6" s="8"/>
    </row>
    <row r="7">
      <c r="G7" s="11"/>
      <c r="H7" s="8"/>
      <c r="I7" s="8"/>
      <c r="J7" s="8"/>
      <c r="K7" s="8"/>
    </row>
    <row r="8">
      <c r="G8" s="11"/>
      <c r="H8" s="8"/>
      <c r="I8" s="8"/>
      <c r="J8" s="8"/>
      <c r="K8" s="8"/>
    </row>
    <row r="9">
      <c r="A9" s="5" t="s">
        <v>34</v>
      </c>
      <c r="B9" s="6" t="s">
        <v>9</v>
      </c>
      <c r="C9" s="6" t="s">
        <v>10</v>
      </c>
      <c r="D9" s="6" t="s">
        <v>11</v>
      </c>
      <c r="E9" s="1" t="s">
        <v>12</v>
      </c>
      <c r="F9" s="1" t="s">
        <v>13</v>
      </c>
    </row>
    <row r="10">
      <c r="A10" s="6" t="s">
        <v>14</v>
      </c>
      <c r="B10" s="9" t="s">
        <v>15</v>
      </c>
      <c r="C10" s="9" t="s">
        <v>16</v>
      </c>
      <c r="D10" s="6" t="s">
        <v>35</v>
      </c>
      <c r="E10" s="10">
        <f>IFERROR(__xludf.DUMMYFUNCTION("ROUND((IFERROR(VALUE(REGEXEXTRACT(B10,""(\d+)h""))*3600,0)+IFERROR(VALUE(REGEXEXTRACT(B10,""(\d+)m""))*60,0)+IFERROR(VALUE(REGEXEXTRACT(B10,""(\d+)s"")),0))/(IFERROR(VALUE(REGEXEXTRACT(D10,""(\d+)h""))*3600,0)+IFERROR(VALUE(REGEXEXTRACT(D10,""(\d+)m""))*6"&amp;"0,0)+IFERROR(VALUE(REGEXEXTRACT(D10,""(\d+)s"")),0)),4)"),3.8793)</f>
        <v>3.8793</v>
      </c>
      <c r="F10" s="10">
        <f>IFERROR(__xludf.DUMMYFUNCTION("ROUND((IFERROR(VALUE(REGEXEXTRACT(C10,""(\d+)h""))*3600,0)+IFERROR(VALUE(REGEXEXTRACT(C10,""(\d+)m""))*60,0)+IFERROR(VALUE(REGEXEXTRACT(C10,""(\d+)s"")),0))/(IFERROR(VALUE(REGEXEXTRACT(D10,""(\d+)h""))*3600,0)+IFERROR(VALUE(REGEXEXTRACT(D10,""(\d+)m""))*6"&amp;"0,0)+IFERROR(VALUE(REGEXEXTRACT(D10,""(\d+)s"")),0)),4)"),1.0342)</f>
        <v>1.0342</v>
      </c>
    </row>
    <row r="11">
      <c r="A11" s="6" t="s">
        <v>18</v>
      </c>
      <c r="B11" s="9" t="s">
        <v>19</v>
      </c>
      <c r="C11" s="9" t="s">
        <v>20</v>
      </c>
      <c r="D11" s="6" t="s">
        <v>36</v>
      </c>
      <c r="E11" s="10">
        <f>IFERROR(__xludf.DUMMYFUNCTION("ROUND((IFERROR(VALUE(REGEXEXTRACT(B11,""(\d+)h""))*3600,0)+IFERROR(VALUE(REGEXEXTRACT(B11,""(\d+)m""))*60,0)+IFERROR(VALUE(REGEXEXTRACT(B11,""(\d+)s"")),0))/(IFERROR(VALUE(REGEXEXTRACT(D11,""(\d+)h""))*3600,0)+IFERROR(VALUE(REGEXEXTRACT(D11,""(\d+)m""))*6"&amp;"0,0)+IFERROR(VALUE(REGEXEXTRACT(D11,""(\d+)s"")),0)),4)"),7.4244)</f>
        <v>7.4244</v>
      </c>
      <c r="F11" s="10">
        <f>IFERROR(__xludf.DUMMYFUNCTION("ROUND((IFERROR(VALUE(REGEXEXTRACT(C11,""(\d+)h""))*3600,0)+IFERROR(VALUE(REGEXEXTRACT(C11,""(\d+)m""))*60,0)+IFERROR(VALUE(REGEXEXTRACT(C11,""(\d+)s"")),0))/(IFERROR(VALUE(REGEXEXTRACT(D11,""(\d+)h""))*3600,0)+IFERROR(VALUE(REGEXEXTRACT(D11,""(\d+)m""))*6"&amp;"0,0)+IFERROR(VALUE(REGEXEXTRACT(D11,""(\d+)s"")),0)),4)"),1.0135)</f>
        <v>1.0135</v>
      </c>
    </row>
    <row r="12">
      <c r="A12" s="6" t="s">
        <v>22</v>
      </c>
      <c r="B12" s="9" t="s">
        <v>23</v>
      </c>
      <c r="C12" s="9" t="s">
        <v>24</v>
      </c>
      <c r="D12" s="6" t="s">
        <v>37</v>
      </c>
      <c r="E12" s="10">
        <f>IFERROR(__xludf.DUMMYFUNCTION("ROUND((IFERROR(VALUE(REGEXEXTRACT(B12,""(\d+)h""))*3600,0)+IFERROR(VALUE(REGEXEXTRACT(B12,""(\d+)m""))*60,0)+IFERROR(VALUE(REGEXEXTRACT(B12,""(\d+)s"")),0))/(IFERROR(VALUE(REGEXEXTRACT(D12,""(\d+)h""))*3600,0)+IFERROR(VALUE(REGEXEXTRACT(D12,""(\d+)m""))*6"&amp;"0,0)+IFERROR(VALUE(REGEXEXTRACT(D12,""(\d+)s"")),0)),4)"),3.1467)</f>
        <v>3.1467</v>
      </c>
      <c r="F12" s="10">
        <f>IFERROR(__xludf.DUMMYFUNCTION("ROUND((IFERROR(VALUE(REGEXEXTRACT(C12,""(\d+)h""))*3600,0)+IFERROR(VALUE(REGEXEXTRACT(C12,""(\d+)m""))*60,0)+IFERROR(VALUE(REGEXEXTRACT(C12,""(\d+)s"")),0))/(IFERROR(VALUE(REGEXEXTRACT(D12,""(\d+)h""))*3600,0)+IFERROR(VALUE(REGEXEXTRACT(D12,""(\d+)m""))*6"&amp;"0,0)+IFERROR(VALUE(REGEXEXTRACT(D12,""(\d+)s"")),0)),4)"),1.1379)</f>
        <v>1.1379</v>
      </c>
    </row>
    <row r="13">
      <c r="A13" s="6" t="s">
        <v>26</v>
      </c>
      <c r="B13" s="9" t="s">
        <v>27</v>
      </c>
      <c r="C13" s="9" t="s">
        <v>28</v>
      </c>
      <c r="D13" s="6" t="s">
        <v>38</v>
      </c>
      <c r="E13" s="10">
        <f>IFERROR(__xludf.DUMMYFUNCTION("ROUND((IFERROR(VALUE(REGEXEXTRACT(B13,""(\d+)h""))*3600,0)+IFERROR(VALUE(REGEXEXTRACT(B13,""(\d+)m""))*60,0)+IFERROR(VALUE(REGEXEXTRACT(B13,""(\d+)s"")),0))/(IFERROR(VALUE(REGEXEXTRACT(D13,""(\d+)h""))*3600,0)+IFERROR(VALUE(REGEXEXTRACT(D13,""(\d+)m""))*6"&amp;"0,0)+IFERROR(VALUE(REGEXEXTRACT(D13,""(\d+)s"")),0)),4)"),2.3763)</f>
        <v>2.3763</v>
      </c>
      <c r="F13" s="10">
        <f>IFERROR(__xludf.DUMMYFUNCTION("ROUND((IFERROR(VALUE(REGEXEXTRACT(C13,""(\d+)h""))*3600,0)+IFERROR(VALUE(REGEXEXTRACT(C13,""(\d+)m""))*60,0)+IFERROR(VALUE(REGEXEXTRACT(C13,""(\d+)s"")),0))/(IFERROR(VALUE(REGEXEXTRACT(D13,""(\d+)h""))*3600,0)+IFERROR(VALUE(REGEXEXTRACT(D13,""(\d+)m""))*6"&amp;"0,0)+IFERROR(VALUE(REGEXEXTRACT(D13,""(\d+)s"")),0)),4)"),1.0426)</f>
        <v>1.0426</v>
      </c>
    </row>
    <row r="14">
      <c r="A14" s="6" t="s">
        <v>30</v>
      </c>
      <c r="B14" s="9" t="s">
        <v>31</v>
      </c>
      <c r="C14" s="9" t="s">
        <v>32</v>
      </c>
      <c r="D14" s="6" t="s">
        <v>39</v>
      </c>
      <c r="E14" s="10">
        <f>IFERROR(__xludf.DUMMYFUNCTION("ROUND((IFERROR(VALUE(REGEXEXTRACT(B14,""(\d+)h""))*3600,0)+IFERROR(VALUE(REGEXEXTRACT(B14,""(\d+)m""))*60,0)+IFERROR(VALUE(REGEXEXTRACT(B14,""(\d+)s"")),0))/(IFERROR(VALUE(REGEXEXTRACT(D14,""(\d+)h""))*3600,0)+IFERROR(VALUE(REGEXEXTRACT(D14,""(\d+)m""))*6"&amp;"0,0)+IFERROR(VALUE(REGEXEXTRACT(D14,""(\d+)s"")),0)),4)"),2.2942)</f>
        <v>2.2942</v>
      </c>
      <c r="F14" s="10">
        <f>IFERROR(__xludf.DUMMYFUNCTION("ROUND((IFERROR(VALUE(REGEXEXTRACT(C14,""(\d+)h""))*3600,0)+IFERROR(VALUE(REGEXEXTRACT(C14,""(\d+)m""))*60,0)+IFERROR(VALUE(REGEXEXTRACT(C14,""(\d+)s"")),0))/(IFERROR(VALUE(REGEXEXTRACT(D14,""(\d+)h""))*3600,0)+IFERROR(VALUE(REGEXEXTRACT(D14,""(\d+)m""))*6"&amp;"0,0)+IFERROR(VALUE(REGEXEXTRACT(D14,""(\d+)s"")),0)),4)"),1.0011)</f>
        <v>1.0011</v>
      </c>
    </row>
    <row r="15">
      <c r="A15" s="7"/>
      <c r="B15" s="7"/>
      <c r="C15" s="7"/>
      <c r="D15" s="7"/>
      <c r="E15" s="7"/>
      <c r="F15" s="7"/>
      <c r="G15" s="11"/>
    </row>
    <row r="16">
      <c r="A16" s="6"/>
      <c r="B16" s="9"/>
      <c r="C16" s="6"/>
      <c r="D16" s="6"/>
      <c r="E16" s="6"/>
      <c r="F16" s="11"/>
      <c r="G16" s="11"/>
    </row>
    <row r="17">
      <c r="G17" s="11"/>
    </row>
    <row r="18">
      <c r="G18" s="11"/>
      <c r="H18" s="8"/>
      <c r="I18" s="8"/>
      <c r="J18" s="8"/>
      <c r="K18" s="8"/>
    </row>
    <row r="19">
      <c r="A19" s="5" t="s">
        <v>40</v>
      </c>
      <c r="B19" s="6" t="s">
        <v>41</v>
      </c>
      <c r="C19" s="6" t="s">
        <v>42</v>
      </c>
      <c r="D19" s="6" t="s">
        <v>43</v>
      </c>
      <c r="E19" s="1" t="s">
        <v>44</v>
      </c>
      <c r="F19" s="1" t="s">
        <v>45</v>
      </c>
      <c r="G19" s="11"/>
      <c r="H19" s="8"/>
      <c r="I19" s="8"/>
      <c r="J19" s="8"/>
      <c r="K19" s="8"/>
    </row>
    <row r="20">
      <c r="A20" s="6" t="s">
        <v>14</v>
      </c>
      <c r="B20" s="6">
        <v>33.017</v>
      </c>
      <c r="C20" s="6">
        <v>7.41</v>
      </c>
      <c r="D20" s="6">
        <v>4.021</v>
      </c>
      <c r="E20" s="11">
        <f t="shared" ref="E20:E24" si="1">ROUND(1 - ((B20 - D20)/B20),4)</f>
        <v>0.1218</v>
      </c>
      <c r="F20" s="11">
        <f t="shared" ref="F20:F24" si="2">ROUND(1-((C20 - D20)/C20),4)</f>
        <v>0.5426</v>
      </c>
      <c r="H20" s="8"/>
      <c r="I20" s="8"/>
      <c r="J20" s="8"/>
    </row>
    <row r="21">
      <c r="A21" s="6" t="s">
        <v>18</v>
      </c>
      <c r="B21" s="9">
        <v>99.275</v>
      </c>
      <c r="C21" s="6">
        <v>20.963</v>
      </c>
      <c r="D21" s="6">
        <v>10.813</v>
      </c>
      <c r="E21" s="11">
        <f t="shared" si="1"/>
        <v>0.1089</v>
      </c>
      <c r="F21" s="11">
        <f t="shared" si="2"/>
        <v>0.5158</v>
      </c>
      <c r="H21" s="8"/>
      <c r="I21" s="8"/>
      <c r="J21" s="8"/>
      <c r="K21" s="8"/>
    </row>
    <row r="22">
      <c r="A22" s="6" t="s">
        <v>22</v>
      </c>
      <c r="B22" s="6">
        <v>35.791</v>
      </c>
      <c r="C22" s="6">
        <v>7.312</v>
      </c>
      <c r="D22" s="6">
        <v>3.75</v>
      </c>
      <c r="E22" s="11">
        <f t="shared" si="1"/>
        <v>0.1048</v>
      </c>
      <c r="F22" s="11">
        <f t="shared" si="2"/>
        <v>0.5129</v>
      </c>
      <c r="H22" s="8"/>
      <c r="I22" s="8"/>
      <c r="J22" s="8"/>
      <c r="K22" s="8"/>
    </row>
    <row r="23">
      <c r="A23" s="6" t="s">
        <v>26</v>
      </c>
      <c r="B23" s="6">
        <v>116.811</v>
      </c>
      <c r="C23" s="6">
        <v>25.293</v>
      </c>
      <c r="D23" s="6">
        <v>12.533</v>
      </c>
      <c r="E23" s="11">
        <f t="shared" si="1"/>
        <v>0.1073</v>
      </c>
      <c r="F23" s="11">
        <f t="shared" si="2"/>
        <v>0.4955</v>
      </c>
      <c r="H23" s="8"/>
      <c r="I23" s="8"/>
      <c r="J23" s="8"/>
      <c r="K23" s="8"/>
    </row>
    <row r="24">
      <c r="A24" s="6" t="s">
        <v>30</v>
      </c>
      <c r="B24" s="6">
        <v>30.717</v>
      </c>
      <c r="C24" s="6">
        <v>5.588</v>
      </c>
      <c r="D24" s="6">
        <v>2.926</v>
      </c>
      <c r="E24" s="11">
        <f t="shared" si="1"/>
        <v>0.0953</v>
      </c>
      <c r="F24" s="11">
        <f t="shared" si="2"/>
        <v>0.5236</v>
      </c>
      <c r="H24" s="8"/>
      <c r="I24" s="8"/>
      <c r="J24" s="8"/>
      <c r="K24" s="8"/>
    </row>
    <row r="25">
      <c r="H25" s="8"/>
      <c r="I25" s="8"/>
      <c r="J25" s="8"/>
    </row>
    <row r="26">
      <c r="H26" s="8"/>
      <c r="I26" s="8"/>
      <c r="J26" s="8"/>
    </row>
    <row r="29">
      <c r="E29" s="1" t="s">
        <v>46</v>
      </c>
    </row>
    <row r="36">
      <c r="A36" s="12"/>
      <c r="B36" s="8"/>
    </row>
    <row r="37">
      <c r="A37" s="13"/>
      <c r="B37" s="8"/>
      <c r="C37" s="8"/>
    </row>
    <row r="38">
      <c r="A38" s="7"/>
      <c r="B38" s="14"/>
      <c r="C38" s="8"/>
    </row>
    <row r="39">
      <c r="A39" s="7"/>
      <c r="B39" s="14"/>
      <c r="C39" s="14"/>
    </row>
    <row r="40">
      <c r="A40" s="7"/>
      <c r="B40" s="14"/>
      <c r="C40" s="14"/>
    </row>
    <row r="42">
      <c r="A42" s="12"/>
      <c r="B42" s="8"/>
    </row>
    <row r="43">
      <c r="A43" s="13"/>
      <c r="B43" s="8"/>
      <c r="C43" s="8"/>
    </row>
    <row r="44">
      <c r="A44" s="7"/>
      <c r="B44" s="14"/>
      <c r="C44" s="14"/>
      <c r="H44" s="10"/>
      <c r="I44" s="10"/>
      <c r="J44" s="10"/>
      <c r="K44" s="8"/>
    </row>
    <row r="45">
      <c r="A45" s="7"/>
      <c r="B45" s="14"/>
      <c r="C45" s="14"/>
      <c r="H45" s="10"/>
      <c r="I45" s="10"/>
      <c r="J45" s="10"/>
      <c r="K45" s="8"/>
    </row>
    <row r="46">
      <c r="A46" s="7"/>
      <c r="B46" s="14"/>
      <c r="C46" s="14"/>
      <c r="H46" s="10"/>
      <c r="I46" s="10"/>
      <c r="J46" s="10"/>
      <c r="K46" s="8"/>
    </row>
    <row r="47">
      <c r="H47" s="10"/>
      <c r="I47" s="10"/>
      <c r="J47" s="10"/>
      <c r="K47" s="8"/>
    </row>
    <row r="48">
      <c r="A48" s="12"/>
      <c r="B48" s="8"/>
      <c r="H48" s="10"/>
      <c r="I48" s="10"/>
      <c r="J48" s="10"/>
      <c r="K48" s="8"/>
    </row>
    <row r="49">
      <c r="A49" s="13"/>
      <c r="B49" s="8"/>
      <c r="C49" s="8"/>
      <c r="H49" s="10"/>
      <c r="I49" s="10"/>
      <c r="J49" s="10"/>
      <c r="K49" s="8"/>
    </row>
    <row r="50">
      <c r="A50" s="7"/>
      <c r="B50" s="14"/>
      <c r="C50" s="14"/>
      <c r="H50" s="10"/>
      <c r="I50" s="10"/>
      <c r="J50" s="10"/>
      <c r="K50" s="8"/>
    </row>
    <row r="51">
      <c r="A51" s="7"/>
      <c r="B51" s="14"/>
      <c r="C51" s="14"/>
      <c r="H51" s="10"/>
      <c r="I51" s="10"/>
      <c r="J51" s="10"/>
      <c r="K51" s="8"/>
    </row>
    <row r="52">
      <c r="A52" s="7"/>
      <c r="B52" s="14"/>
      <c r="C52" s="14"/>
      <c r="H52" s="10"/>
      <c r="I52" s="10"/>
      <c r="J52" s="10"/>
      <c r="K52" s="8"/>
    </row>
    <row r="53">
      <c r="H53" s="10"/>
      <c r="I53" s="10"/>
      <c r="J53" s="10"/>
      <c r="K53" s="8"/>
    </row>
    <row r="54">
      <c r="A54" s="12"/>
      <c r="B54" s="8"/>
      <c r="H54" s="10"/>
      <c r="I54" s="10"/>
      <c r="J54" s="10"/>
      <c r="K54" s="8"/>
    </row>
    <row r="55">
      <c r="A55" s="13"/>
      <c r="B55" s="8"/>
      <c r="C55" s="8"/>
      <c r="H55" s="10"/>
      <c r="I55" s="10"/>
      <c r="J55" s="10"/>
      <c r="K55" s="8"/>
    </row>
    <row r="56">
      <c r="A56" s="7"/>
      <c r="B56" s="14"/>
      <c r="C56" s="14"/>
      <c r="H56" s="10"/>
      <c r="I56" s="10"/>
      <c r="J56" s="10"/>
      <c r="K56" s="8"/>
    </row>
    <row r="57">
      <c r="A57" s="7"/>
      <c r="B57" s="14"/>
      <c r="C57" s="14"/>
      <c r="H57" s="10"/>
      <c r="I57" s="10"/>
      <c r="J57" s="10"/>
      <c r="K57" s="8"/>
    </row>
    <row r="58">
      <c r="A58" s="7"/>
      <c r="B58" s="14"/>
      <c r="C58" s="14"/>
      <c r="H58" s="10"/>
      <c r="I58" s="10"/>
      <c r="J58" s="10"/>
      <c r="K58" s="8"/>
    </row>
    <row r="59">
      <c r="H59" s="10"/>
      <c r="I59" s="10"/>
      <c r="J59" s="10"/>
      <c r="K59" s="8"/>
    </row>
    <row r="60">
      <c r="A60" s="12"/>
      <c r="B60" s="8"/>
      <c r="H60" s="10"/>
      <c r="I60" s="10"/>
      <c r="J60" s="10"/>
      <c r="K60" s="8"/>
    </row>
    <row r="61">
      <c r="A61" s="13"/>
      <c r="B61" s="8"/>
      <c r="C61" s="8"/>
      <c r="H61" s="10"/>
      <c r="I61" s="10"/>
      <c r="J61" s="10"/>
      <c r="K61" s="8"/>
    </row>
    <row r="62">
      <c r="A62" s="7"/>
      <c r="B62" s="14"/>
      <c r="C62" s="14"/>
      <c r="H62" s="10"/>
      <c r="I62" s="10"/>
      <c r="J62" s="10"/>
      <c r="K62" s="8"/>
    </row>
    <row r="63">
      <c r="A63" s="7"/>
      <c r="B63" s="14"/>
      <c r="C63" s="14"/>
      <c r="H63" s="10"/>
      <c r="I63" s="10"/>
      <c r="J63" s="10"/>
      <c r="K63" s="8"/>
    </row>
    <row r="64">
      <c r="A64" s="7"/>
      <c r="B64" s="14"/>
      <c r="C64" s="14"/>
      <c r="H64" s="10"/>
      <c r="I64" s="10"/>
      <c r="J64" s="10"/>
      <c r="K64" s="8"/>
    </row>
    <row r="65">
      <c r="H65" s="10"/>
      <c r="I65" s="10"/>
      <c r="J65" s="10"/>
      <c r="K65" s="8"/>
    </row>
    <row r="66">
      <c r="H66" s="10"/>
      <c r="I66" s="10"/>
      <c r="J66" s="10"/>
      <c r="K66" s="8"/>
    </row>
    <row r="67">
      <c r="H67" s="10"/>
      <c r="I67" s="10"/>
      <c r="J67" s="10"/>
      <c r="K67" s="8"/>
    </row>
    <row r="68">
      <c r="H68" s="10"/>
      <c r="I68" s="10"/>
      <c r="J68" s="10"/>
      <c r="K68" s="8"/>
    </row>
    <row r="69">
      <c r="H69" s="10"/>
      <c r="I69" s="10"/>
      <c r="J69" s="10"/>
      <c r="K69" s="8"/>
    </row>
    <row r="70">
      <c r="H70" s="10"/>
      <c r="I70" s="10"/>
      <c r="J70" s="10"/>
      <c r="K70" s="8"/>
    </row>
    <row r="71">
      <c r="H71" s="10"/>
      <c r="I71" s="10"/>
      <c r="J71" s="10"/>
      <c r="K71" s="8"/>
    </row>
    <row r="72">
      <c r="H72" s="10"/>
      <c r="I72" s="10"/>
      <c r="J72" s="10"/>
      <c r="K72" s="8"/>
    </row>
    <row r="73">
      <c r="H73" s="10"/>
      <c r="I73" s="10"/>
      <c r="J73" s="10"/>
      <c r="K73" s="8"/>
    </row>
    <row r="74">
      <c r="H74" s="10"/>
      <c r="I74" s="10"/>
      <c r="J74" s="10"/>
      <c r="K74" s="8"/>
    </row>
    <row r="75">
      <c r="H75" s="10"/>
      <c r="I75" s="10"/>
      <c r="J75" s="10"/>
      <c r="K75" s="8"/>
    </row>
    <row r="76">
      <c r="D76" s="8"/>
      <c r="E76" s="8"/>
      <c r="F76" s="8"/>
      <c r="G76" s="8"/>
      <c r="H76" s="8"/>
      <c r="I76" s="8"/>
      <c r="J76" s="8"/>
      <c r="K76" s="8"/>
    </row>
    <row r="77">
      <c r="D77" s="8"/>
      <c r="E77" s="8"/>
      <c r="F77" s="8"/>
      <c r="G77" s="8"/>
      <c r="H77" s="8"/>
      <c r="I77" s="8"/>
      <c r="J77" s="8"/>
      <c r="K77" s="8"/>
    </row>
    <row r="78">
      <c r="D78" s="8"/>
      <c r="E78" s="8"/>
      <c r="F78" s="8"/>
      <c r="G78" s="8"/>
      <c r="H78" s="8"/>
      <c r="I78" s="8"/>
      <c r="J78" s="8"/>
      <c r="K78" s="8"/>
    </row>
    <row r="79">
      <c r="D79" s="8"/>
      <c r="E79" s="8"/>
      <c r="F79" s="8"/>
      <c r="G79" s="8"/>
      <c r="H79" s="8"/>
      <c r="I79" s="8"/>
      <c r="J79" s="8"/>
      <c r="K79" s="8"/>
    </row>
    <row r="80">
      <c r="D80" s="8"/>
      <c r="E80" s="8"/>
      <c r="F80" s="8"/>
      <c r="G80" s="8"/>
      <c r="H80" s="8"/>
      <c r="I80" s="8"/>
      <c r="J80" s="8"/>
      <c r="K80" s="8"/>
    </row>
    <row r="81">
      <c r="D81" s="8"/>
      <c r="E81" s="8"/>
      <c r="F81" s="8"/>
      <c r="G81" s="8"/>
      <c r="H81" s="8"/>
      <c r="I81" s="8"/>
      <c r="J81" s="8"/>
      <c r="K81" s="8"/>
    </row>
    <row r="82">
      <c r="D82" s="8"/>
      <c r="E82" s="8"/>
      <c r="F82" s="8"/>
      <c r="G82" s="8"/>
      <c r="H82" s="8"/>
      <c r="I82" s="8"/>
      <c r="J82" s="8"/>
      <c r="K82" s="8"/>
    </row>
    <row r="83">
      <c r="D83" s="8"/>
      <c r="E83" s="8"/>
      <c r="F83" s="8"/>
      <c r="G83" s="8"/>
      <c r="H83" s="8"/>
      <c r="I83" s="8"/>
      <c r="J83" s="8"/>
      <c r="K83" s="8"/>
    </row>
    <row r="84">
      <c r="D84" s="8"/>
      <c r="E84" s="8"/>
      <c r="F84" s="8"/>
      <c r="G84" s="8"/>
      <c r="H84" s="8"/>
      <c r="I84" s="8"/>
      <c r="J84" s="8"/>
      <c r="K84" s="8"/>
    </row>
    <row r="85">
      <c r="D85" s="8"/>
      <c r="E85" s="8"/>
      <c r="F85" s="8"/>
      <c r="G85" s="8"/>
      <c r="H85" s="8"/>
      <c r="I85" s="8"/>
      <c r="J85" s="8"/>
      <c r="K85" s="8"/>
    </row>
    <row r="86">
      <c r="D86" s="8"/>
      <c r="E86" s="8"/>
      <c r="F86" s="8"/>
      <c r="G86" s="8"/>
      <c r="H86" s="8"/>
      <c r="I86" s="8"/>
      <c r="J86" s="8"/>
      <c r="K86" s="8"/>
    </row>
    <row r="87">
      <c r="D87" s="8"/>
      <c r="E87" s="8"/>
      <c r="F87" s="8"/>
      <c r="G87" s="8"/>
      <c r="H87" s="8"/>
      <c r="I87" s="8"/>
      <c r="J87" s="8"/>
      <c r="K87" s="8"/>
    </row>
  </sheetData>
  <mergeCells count="6">
    <mergeCell ref="A35:G35"/>
    <mergeCell ref="B36:C36"/>
    <mergeCell ref="B42:C42"/>
    <mergeCell ref="B48:C48"/>
    <mergeCell ref="B54:C54"/>
    <mergeCell ref="B60:C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25"/>
    <col customWidth="1" min="3" max="3" width="32.25"/>
    <col customWidth="1" min="4" max="4" width="17.63"/>
    <col customWidth="1" min="5" max="5" width="32.38"/>
    <col customWidth="1" min="6" max="6" width="18.88"/>
    <col customWidth="1" min="7" max="7" width="14.63"/>
  </cols>
  <sheetData>
    <row r="1">
      <c r="A1" s="5" t="s">
        <v>3</v>
      </c>
      <c r="B1" s="6" t="s">
        <v>9</v>
      </c>
      <c r="C1" s="6" t="s">
        <v>10</v>
      </c>
      <c r="D1" s="6" t="s">
        <v>11</v>
      </c>
      <c r="E1" s="1" t="s">
        <v>12</v>
      </c>
      <c r="F1" s="1" t="s">
        <v>13</v>
      </c>
      <c r="G1" s="6"/>
    </row>
    <row r="2">
      <c r="A2" s="6" t="s">
        <v>14</v>
      </c>
      <c r="B2" s="15" t="s">
        <v>47</v>
      </c>
      <c r="C2" s="15" t="s">
        <v>48</v>
      </c>
      <c r="D2" s="6" t="s">
        <v>49</v>
      </c>
      <c r="E2" s="10">
        <f>IFERROR(__xludf.DUMMYFUNCTION("ROUND((IFERROR(VALUE(REGEXEXTRACT(B2,""(\d+)h""))*3600,0)+IFERROR(VALUE(REGEXEXTRACT(B2,""(\d+)m""))*60,0)+IFERROR(VALUE(REGEXEXTRACT(B2,""(\d+)s"")),0))/(IFERROR(VALUE(REGEXEXTRACT(D2,""(\d+)h""))*3600,0)+IFERROR(VALUE(REGEXEXTRACT(D2,""(\d+)m""))*60,0)+"&amp;"IFERROR(VALUE(REGEXEXTRACT(D2,""(\d+)s"")),0)),4)"),2.3)</f>
        <v>2.3</v>
      </c>
      <c r="F2" s="10">
        <f>IFERROR(__xludf.DUMMYFUNCTION("ROUND((IFERROR(VALUE(REGEXEXTRACT(C2,""(\d+)h""))*3600,0)+IFERROR(VALUE(REGEXEXTRACT(C2,""(\d+)m""))*60,0)+IFERROR(VALUE(REGEXEXTRACT(C2,""(\d+)s"")),0))/(IFERROR(VALUE(REGEXEXTRACT(D2,""(\d+)h""))*3600,0)+IFERROR(VALUE(REGEXEXTRACT(D2,""(\d+)m""))*60,0)+"&amp;"IFERROR(VALUE(REGEXEXTRACT(D2,""(\d+)s"")),0)),4)"),0.422)</f>
        <v>0.422</v>
      </c>
      <c r="G2" s="6"/>
    </row>
    <row r="3">
      <c r="A3" s="6" t="s">
        <v>18</v>
      </c>
      <c r="B3" s="15" t="s">
        <v>50</v>
      </c>
      <c r="C3" s="15" t="s">
        <v>51</v>
      </c>
      <c r="D3" s="6" t="s">
        <v>52</v>
      </c>
      <c r="E3" s="10">
        <f>IFERROR(__xludf.DUMMYFUNCTION("ROUND((IFERROR(VALUE(REGEXEXTRACT(B3,""(\d+)h""))*3600,0)+IFERROR(VALUE(REGEXEXTRACT(B3,""(\d+)m""))*60,0)+IFERROR(VALUE(REGEXEXTRACT(B3,""(\d+)s"")),0))/(IFERROR(VALUE(REGEXEXTRACT(D3,""(\d+)h""))*3600,0)+IFERROR(VALUE(REGEXEXTRACT(D3,""(\d+)m""))*60,0)+"&amp;"IFERROR(VALUE(REGEXEXTRACT(D3,""(\d+)s"")),0)),4)"),2.9457)</f>
        <v>2.9457</v>
      </c>
      <c r="F3" s="10">
        <f>IFERROR(__xludf.DUMMYFUNCTION("ROUND((IFERROR(VALUE(REGEXEXTRACT(C3,""(\d+)h""))*3600,0)+IFERROR(VALUE(REGEXEXTRACT(C3,""(\d+)m""))*60,0)+IFERROR(VALUE(REGEXEXTRACT(C3,""(\d+)s"")),0))/(IFERROR(VALUE(REGEXEXTRACT(D3,""(\d+)h""))*3600,0)+IFERROR(VALUE(REGEXEXTRACT(D3,""(\d+)m""))*60,0)+"&amp;"IFERROR(VALUE(REGEXEXTRACT(D3,""(\d+)s"")),0)),4)"),0.4538)</f>
        <v>0.4538</v>
      </c>
      <c r="G3" s="6"/>
    </row>
    <row r="4">
      <c r="A4" s="6" t="s">
        <v>22</v>
      </c>
      <c r="B4" s="15" t="s">
        <v>53</v>
      </c>
      <c r="C4" s="15" t="s">
        <v>54</v>
      </c>
      <c r="D4" s="6" t="s">
        <v>55</v>
      </c>
      <c r="E4" s="10">
        <f>IFERROR(__xludf.DUMMYFUNCTION("ROUND((IFERROR(VALUE(REGEXEXTRACT(B4,""(\d+)h""))*3600,0)+IFERROR(VALUE(REGEXEXTRACT(B4,""(\d+)m""))*60,0)+IFERROR(VALUE(REGEXEXTRACT(B4,""(\d+)s"")),0))/(IFERROR(VALUE(REGEXEXTRACT(D4,""(\d+)h""))*3600,0)+IFERROR(VALUE(REGEXEXTRACT(D4,""(\d+)m""))*60,0)+"&amp;"IFERROR(VALUE(REGEXEXTRACT(D4,""(\d+)s"")),0)),4)"),3.2532)</f>
        <v>3.2532</v>
      </c>
      <c r="F4" s="10">
        <f>IFERROR(__xludf.DUMMYFUNCTION("ROUND((IFERROR(VALUE(REGEXEXTRACT(C4,""(\d+)h""))*3600,0)+IFERROR(VALUE(REGEXEXTRACT(C4,""(\d+)m""))*60,0)+IFERROR(VALUE(REGEXEXTRACT(C4,""(\d+)s"")),0))/(IFERROR(VALUE(REGEXEXTRACT(D4,""(\d+)h""))*3600,0)+IFERROR(VALUE(REGEXEXTRACT(D4,""(\d+)m""))*60,0)+"&amp;"IFERROR(VALUE(REGEXEXTRACT(D4,""(\d+)s"")),0)),4)"),0.4641)</f>
        <v>0.4641</v>
      </c>
      <c r="G4" s="6"/>
    </row>
    <row r="5">
      <c r="A5" s="6" t="s">
        <v>26</v>
      </c>
      <c r="B5" s="15" t="s">
        <v>56</v>
      </c>
      <c r="C5" s="15" t="s">
        <v>57</v>
      </c>
      <c r="D5" s="6" t="s">
        <v>58</v>
      </c>
      <c r="E5" s="10">
        <f>IFERROR(__xludf.DUMMYFUNCTION("ROUND((IFERROR(VALUE(REGEXEXTRACT(B5,""(\d+)h""))*3600,0)+IFERROR(VALUE(REGEXEXTRACT(B5,""(\d+)m""))*60,0)+IFERROR(VALUE(REGEXEXTRACT(B5,""(\d+)s"")),0))/(IFERROR(VALUE(REGEXEXTRACT(D5,""(\d+)h""))*3600,0)+IFERROR(VALUE(REGEXEXTRACT(D5,""(\d+)m""))*60,0)+"&amp;"IFERROR(VALUE(REGEXEXTRACT(D5,""(\d+)s"")),0)),4)"),5.0297)</f>
        <v>5.0297</v>
      </c>
      <c r="F5" s="10">
        <f>IFERROR(__xludf.DUMMYFUNCTION("ROUND((IFERROR(VALUE(REGEXEXTRACT(C5,""(\d+)h""))*3600,0)+IFERROR(VALUE(REGEXEXTRACT(C5,""(\d+)m""))*60,0)+IFERROR(VALUE(REGEXEXTRACT(C5,""(\d+)s"")),0))/(IFERROR(VALUE(REGEXEXTRACT(D5,""(\d+)h""))*3600,0)+IFERROR(VALUE(REGEXEXTRACT(D5,""(\d+)m""))*60,0)+"&amp;"IFERROR(VALUE(REGEXEXTRACT(D5,""(\d+)s"")),0)),4)"),0.8355)</f>
        <v>0.8355</v>
      </c>
      <c r="G5" s="6"/>
    </row>
    <row r="6">
      <c r="A6" s="6" t="s">
        <v>30</v>
      </c>
      <c r="B6" s="15" t="s">
        <v>59</v>
      </c>
      <c r="C6" s="15" t="s">
        <v>60</v>
      </c>
      <c r="D6" s="6" t="s">
        <v>61</v>
      </c>
      <c r="E6" s="10">
        <f>IFERROR(__xludf.DUMMYFUNCTION("ROUND((IFERROR(VALUE(REGEXEXTRACT(B6,""(\d+)h""))*3600,0)+IFERROR(VALUE(REGEXEXTRACT(B6,""(\d+)m""))*60,0)+IFERROR(VALUE(REGEXEXTRACT(B6,""(\d+)s"")),0))/(IFERROR(VALUE(REGEXEXTRACT(D6,""(\d+)h""))*3600,0)+IFERROR(VALUE(REGEXEXTRACT(D6,""(\d+)m""))*60,0)+"&amp;"IFERROR(VALUE(REGEXEXTRACT(D6,""(\d+)s"")),0)),4)"),1.443)</f>
        <v>1.443</v>
      </c>
      <c r="F6" s="10">
        <f>IFERROR(__xludf.DUMMYFUNCTION("ROUND((IFERROR(VALUE(REGEXEXTRACT(C6,""(\d+)h""))*3600,0)+IFERROR(VALUE(REGEXEXTRACT(C6,""(\d+)m""))*60,0)+IFERROR(VALUE(REGEXEXTRACT(C6,""(\d+)s"")),0))/(IFERROR(VALUE(REGEXEXTRACT(D6,""(\d+)h""))*3600,0)+IFERROR(VALUE(REGEXEXTRACT(D6,""(\d+)m""))*60,0)+"&amp;"IFERROR(VALUE(REGEXEXTRACT(D6,""(\d+)s"")),0)),4)"),0.1658)</f>
        <v>0.1658</v>
      </c>
      <c r="G6" s="6"/>
    </row>
    <row r="7">
      <c r="B7" s="16"/>
      <c r="C7" s="16"/>
      <c r="D7" s="16"/>
      <c r="G7" s="7"/>
    </row>
    <row r="8">
      <c r="B8" s="16"/>
      <c r="C8" s="16"/>
      <c r="D8" s="16"/>
      <c r="G8" s="7"/>
    </row>
    <row r="9">
      <c r="A9" s="5" t="s">
        <v>34</v>
      </c>
      <c r="B9" s="6" t="s">
        <v>9</v>
      </c>
      <c r="C9" s="6" t="s">
        <v>10</v>
      </c>
      <c r="D9" s="6" t="s">
        <v>11</v>
      </c>
      <c r="E9" s="1" t="s">
        <v>12</v>
      </c>
      <c r="F9" s="1" t="s">
        <v>13</v>
      </c>
      <c r="G9" s="7"/>
    </row>
    <row r="10">
      <c r="A10" s="6" t="s">
        <v>14</v>
      </c>
      <c r="B10" s="15" t="s">
        <v>47</v>
      </c>
      <c r="C10" s="15" t="s">
        <v>48</v>
      </c>
      <c r="D10" s="15" t="s">
        <v>62</v>
      </c>
      <c r="E10" s="10">
        <f>IFERROR(__xludf.DUMMYFUNCTION("ROUND((IFERROR(VALUE(REGEXEXTRACT(B10,""(\d+)h""))*3600,0)+IFERROR(VALUE(REGEXEXTRACT(B10,""(\d+)m""))*60,0)+IFERROR(VALUE(REGEXEXTRACT(B10,""(\d+)s"")),0))/(IFERROR(VALUE(REGEXEXTRACT(D10,""(\d+)h""))*3600,0)+IFERROR(VALUE(REGEXEXTRACT(D10,""(\d+)m""))*6"&amp;"0,0)+IFERROR(VALUE(REGEXEXTRACT(D10,""(\d+)s"")),0)),4)"),5.6098)</f>
        <v>5.6098</v>
      </c>
      <c r="F10" s="10">
        <f>IFERROR(__xludf.DUMMYFUNCTION("ROUND((IFERROR(VALUE(REGEXEXTRACT(C10,""(\d+)h""))*3600,0)+IFERROR(VALUE(REGEXEXTRACT(C10,""(\d+)m""))*60,0)+IFERROR(VALUE(REGEXEXTRACT(C10,""(\d+)s"")),0))/(IFERROR(VALUE(REGEXEXTRACT(D10,""(\d+)h""))*3600,0)+IFERROR(VALUE(REGEXEXTRACT(D10,""(\d+)m""))*6"&amp;"0,0)+IFERROR(VALUE(REGEXEXTRACT(D10,""(\d+)s"")),0)),4)"),1.0293)</f>
        <v>1.0293</v>
      </c>
    </row>
    <row r="11">
      <c r="A11" s="6" t="s">
        <v>18</v>
      </c>
      <c r="B11" s="15" t="s">
        <v>50</v>
      </c>
      <c r="C11" s="15" t="s">
        <v>51</v>
      </c>
      <c r="D11" s="15" t="s">
        <v>51</v>
      </c>
      <c r="E11" s="10">
        <f>IFERROR(__xludf.DUMMYFUNCTION("ROUND((IFERROR(VALUE(REGEXEXTRACT(B11,""(\d+)h""))*3600,0)+IFERROR(VALUE(REGEXEXTRACT(B11,""(\d+)m""))*60,0)+IFERROR(VALUE(REGEXEXTRACT(B11,""(\d+)s"")),0))/(IFERROR(VALUE(REGEXEXTRACT(D11,""(\d+)h""))*3600,0)+IFERROR(VALUE(REGEXEXTRACT(D11,""(\d+)m""))*6"&amp;"0,0)+IFERROR(VALUE(REGEXEXTRACT(D11,""(\d+)s"")),0)),4)"),6.4918)</f>
        <v>6.4918</v>
      </c>
      <c r="F11" s="10">
        <f>IFERROR(__xludf.DUMMYFUNCTION("ROUND((IFERROR(VALUE(REGEXEXTRACT(C11,""(\d+)h""))*3600,0)+IFERROR(VALUE(REGEXEXTRACT(C11,""(\d+)m""))*60,0)+IFERROR(VALUE(REGEXEXTRACT(C11,""(\d+)s"")),0))/(IFERROR(VALUE(REGEXEXTRACT(D11,""(\d+)h""))*3600,0)+IFERROR(VALUE(REGEXEXTRACT(D11,""(\d+)m""))*6"&amp;"0,0)+IFERROR(VALUE(REGEXEXTRACT(D11,""(\d+)s"")),0)),4)"),1.0)</f>
        <v>1</v>
      </c>
    </row>
    <row r="12">
      <c r="A12" s="6" t="s">
        <v>22</v>
      </c>
      <c r="B12" s="15" t="s">
        <v>53</v>
      </c>
      <c r="C12" s="15" t="s">
        <v>54</v>
      </c>
      <c r="D12" s="15" t="s">
        <v>63</v>
      </c>
      <c r="E12" s="10">
        <f>IFERROR(__xludf.DUMMYFUNCTION("ROUND((IFERROR(VALUE(REGEXEXTRACT(B12,""(\d+)h""))*3600,0)+IFERROR(VALUE(REGEXEXTRACT(B12,""(\d+)m""))*60,0)+IFERROR(VALUE(REGEXEXTRACT(B12,""(\d+)s"")),0))/(IFERROR(VALUE(REGEXEXTRACT(D12,""(\d+)h""))*3600,0)+IFERROR(VALUE(REGEXEXTRACT(D12,""(\d+)m""))*6"&amp;"0,0)+IFERROR(VALUE(REGEXEXTRACT(D12,""(\d+)s"")),0)),4)"),7.6716)</f>
        <v>7.6716</v>
      </c>
      <c r="F12" s="10">
        <f>IFERROR(__xludf.DUMMYFUNCTION("ROUND((IFERROR(VALUE(REGEXEXTRACT(C12,""(\d+)h""))*3600,0)+IFERROR(VALUE(REGEXEXTRACT(C12,""(\d+)m""))*60,0)+IFERROR(VALUE(REGEXEXTRACT(C12,""(\d+)s"")),0))/(IFERROR(VALUE(REGEXEXTRACT(D12,""(\d+)h""))*3600,0)+IFERROR(VALUE(REGEXEXTRACT(D12,""(\d+)m""))*6"&amp;"0,0)+IFERROR(VALUE(REGEXEXTRACT(D12,""(\d+)s"")),0)),4)"),1.0945)</f>
        <v>1.0945</v>
      </c>
    </row>
    <row r="13">
      <c r="A13" s="6" t="s">
        <v>26</v>
      </c>
      <c r="B13" s="15" t="s">
        <v>56</v>
      </c>
      <c r="C13" s="15" t="s">
        <v>57</v>
      </c>
      <c r="D13" s="15" t="s">
        <v>64</v>
      </c>
      <c r="E13" s="10">
        <f>IFERROR(__xludf.DUMMYFUNCTION("ROUND((IFERROR(VALUE(REGEXEXTRACT(B13,""(\d+)h""))*3600,0)+IFERROR(VALUE(REGEXEXTRACT(B13,""(\d+)m""))*60,0)+IFERROR(VALUE(REGEXEXTRACT(B13,""(\d+)s"")),0))/(IFERROR(VALUE(REGEXEXTRACT(D13,""(\d+)h""))*3600,0)+IFERROR(VALUE(REGEXEXTRACT(D13,""(\d+)m""))*6"&amp;"0,0)+IFERROR(VALUE(REGEXEXTRACT(D13,""(\d+)s"")),0)),4)"),6.4241)</f>
        <v>6.4241</v>
      </c>
      <c r="F13" s="10">
        <f>IFERROR(__xludf.DUMMYFUNCTION("ROUND((IFERROR(VALUE(REGEXEXTRACT(C13,""(\d+)h""))*3600,0)+IFERROR(VALUE(REGEXEXTRACT(C13,""(\d+)m""))*60,0)+IFERROR(VALUE(REGEXEXTRACT(C13,""(\d+)s"")),0))/(IFERROR(VALUE(REGEXEXTRACT(D13,""(\d+)h""))*3600,0)+IFERROR(VALUE(REGEXEXTRACT(D13,""(\d+)m""))*6"&amp;"0,0)+IFERROR(VALUE(REGEXEXTRACT(D13,""(\d+)s"")),0)),4)"),1.0671)</f>
        <v>1.0671</v>
      </c>
      <c r="G13" s="11"/>
    </row>
    <row r="14">
      <c r="A14" s="6" t="s">
        <v>30</v>
      </c>
      <c r="B14" s="15" t="s">
        <v>59</v>
      </c>
      <c r="C14" s="15" t="s">
        <v>60</v>
      </c>
      <c r="D14" s="15" t="s">
        <v>65</v>
      </c>
      <c r="E14" s="10">
        <f>IFERROR(__xludf.DUMMYFUNCTION("ROUND((IFERROR(VALUE(REGEXEXTRACT(B14,""(\d+)h""))*3600,0)+IFERROR(VALUE(REGEXEXTRACT(B14,""(\d+)m""))*60,0)+IFERROR(VALUE(REGEXEXTRACT(B14,""(\d+)s"")),0))/(IFERROR(VALUE(REGEXEXTRACT(D14,""(\d+)h""))*3600,0)+IFERROR(VALUE(REGEXEXTRACT(D14,""(\d+)m""))*6"&amp;"0,0)+IFERROR(VALUE(REGEXEXTRACT(D14,""(\d+)s"")),0)),4)"),8.8883)</f>
        <v>8.8883</v>
      </c>
      <c r="F14" s="10">
        <f>IFERROR(__xludf.DUMMYFUNCTION("ROUND((IFERROR(VALUE(REGEXEXTRACT(C14,""(\d+)h""))*3600,0)+IFERROR(VALUE(REGEXEXTRACT(C14,""(\d+)m""))*60,0)+IFERROR(VALUE(REGEXEXTRACT(C14,""(\d+)s"")),0))/(IFERROR(VALUE(REGEXEXTRACT(D14,""(\d+)h""))*3600,0)+IFERROR(VALUE(REGEXEXTRACT(D14,""(\d+)m""))*6"&amp;"0,0)+IFERROR(VALUE(REGEXEXTRACT(D14,""(\d+)s"")),0)),4)"),1.0213)</f>
        <v>1.0213</v>
      </c>
      <c r="G14" s="11"/>
    </row>
    <row r="15">
      <c r="A15" s="7"/>
      <c r="B15" s="17"/>
      <c r="C15" s="17"/>
      <c r="D15" s="17"/>
      <c r="E15" s="7"/>
      <c r="F15" s="7"/>
      <c r="G15" s="11"/>
    </row>
    <row r="16">
      <c r="A16" s="6"/>
      <c r="B16" s="9"/>
      <c r="C16" s="6"/>
      <c r="D16" s="6"/>
      <c r="E16" s="6"/>
      <c r="F16" s="11"/>
      <c r="G16" s="11"/>
    </row>
    <row r="17">
      <c r="B17" s="16"/>
      <c r="C17" s="16"/>
      <c r="D17" s="16"/>
    </row>
    <row r="18">
      <c r="B18" s="16"/>
      <c r="C18" s="16"/>
      <c r="D18" s="16"/>
    </row>
    <row r="19">
      <c r="A19" s="5" t="s">
        <v>40</v>
      </c>
      <c r="B19" s="6" t="s">
        <v>41</v>
      </c>
      <c r="C19" s="6" t="s">
        <v>42</v>
      </c>
      <c r="D19" s="6" t="s">
        <v>43</v>
      </c>
      <c r="E19" s="1" t="s">
        <v>44</v>
      </c>
      <c r="F19" s="1" t="s">
        <v>45</v>
      </c>
    </row>
    <row r="20">
      <c r="A20" s="6" t="s">
        <v>14</v>
      </c>
      <c r="B20" s="18">
        <v>37.872</v>
      </c>
      <c r="C20" s="18">
        <v>7.084</v>
      </c>
      <c r="D20" s="18">
        <v>3.695</v>
      </c>
      <c r="E20" s="11">
        <f t="shared" ref="E20:E24" si="1">ROUND(1 - ((B20 - D20)/B20),4)</f>
        <v>0.0976</v>
      </c>
      <c r="F20" s="11">
        <f t="shared" ref="F20:F24" si="2">ROUND(1-((C20 - D20)/C20),4)</f>
        <v>0.5216</v>
      </c>
    </row>
    <row r="21">
      <c r="A21" s="6" t="s">
        <v>18</v>
      </c>
      <c r="B21" s="19">
        <v>117.68</v>
      </c>
      <c r="C21" s="20">
        <v>20.548</v>
      </c>
      <c r="D21" s="20">
        <v>10.398</v>
      </c>
      <c r="E21" s="11">
        <f t="shared" si="1"/>
        <v>0.0884</v>
      </c>
      <c r="F21" s="11">
        <f t="shared" si="2"/>
        <v>0.506</v>
      </c>
    </row>
    <row r="22">
      <c r="A22" s="6" t="s">
        <v>22</v>
      </c>
      <c r="B22" s="20">
        <v>44.226</v>
      </c>
      <c r="C22" s="20">
        <v>7.273</v>
      </c>
      <c r="D22" s="20">
        <v>3.701</v>
      </c>
      <c r="E22" s="11">
        <f t="shared" si="1"/>
        <v>0.0837</v>
      </c>
      <c r="F22" s="11">
        <f t="shared" si="2"/>
        <v>0.5089</v>
      </c>
    </row>
    <row r="23">
      <c r="A23" s="6" t="s">
        <v>26</v>
      </c>
      <c r="B23" s="20">
        <v>138.742</v>
      </c>
      <c r="C23" s="20">
        <v>25.956</v>
      </c>
      <c r="D23" s="20">
        <v>12.836</v>
      </c>
      <c r="E23" s="11">
        <f t="shared" si="1"/>
        <v>0.0925</v>
      </c>
      <c r="F23" s="11">
        <f t="shared" si="2"/>
        <v>0.4945</v>
      </c>
      <c r="G23" s="11"/>
    </row>
    <row r="24">
      <c r="A24" s="6" t="s">
        <v>30</v>
      </c>
      <c r="B24" s="20">
        <v>37.007</v>
      </c>
      <c r="C24" s="20">
        <v>5.539</v>
      </c>
      <c r="D24" s="20">
        <v>2.877</v>
      </c>
      <c r="E24" s="11">
        <f t="shared" si="1"/>
        <v>0.0777</v>
      </c>
      <c r="F24" s="11">
        <f t="shared" si="2"/>
        <v>0.5194</v>
      </c>
      <c r="G24" s="11"/>
    </row>
    <row r="25">
      <c r="G25" s="11"/>
    </row>
    <row r="26">
      <c r="G26" s="11"/>
    </row>
    <row r="27">
      <c r="G2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5"/>
    <col customWidth="1" min="3" max="3" width="20.13"/>
    <col customWidth="1" min="4" max="4" width="20.5"/>
  </cols>
  <sheetData>
    <row r="1">
      <c r="A1" s="5" t="s">
        <v>3</v>
      </c>
      <c r="B1" s="21" t="s">
        <v>9</v>
      </c>
      <c r="C1" s="21" t="s">
        <v>11</v>
      </c>
      <c r="D1" s="22" t="s">
        <v>12</v>
      </c>
    </row>
    <row r="2">
      <c r="A2" s="6" t="s">
        <v>14</v>
      </c>
      <c r="B2" s="23" t="s">
        <v>66</v>
      </c>
      <c r="C2" s="23" t="s">
        <v>67</v>
      </c>
      <c r="D2" s="24">
        <f>IFERROR(__xludf.DUMMYFUNCTION("ROUND((IFERROR(VALUE(REGEXEXTRACT(B2,""(\d+)h""))*3600,0)+IFERROR(VALUE(REGEXEXTRACT(B2,""(\d+)m""))*60,0)+IFERROR(VALUE(REGEXEXTRACT(B2,""(\d+)s"")),0))/(IFERROR(VALUE(REGEXEXTRACT(C2,""(\d+)h""))*3600,0)+IFERROR(VALUE(REGEXEXTRACT(C2,""(\d+)m""))*60,0)+"&amp;"IFERROR(VALUE(REGEXEXTRACT(C2,""(\d+)s"")),0)),4)"),3.0179)</f>
        <v>3.0179</v>
      </c>
    </row>
    <row r="3">
      <c r="A3" s="6" t="s">
        <v>18</v>
      </c>
      <c r="B3" s="23" t="s">
        <v>68</v>
      </c>
      <c r="C3" s="23" t="s">
        <v>69</v>
      </c>
      <c r="D3" s="24">
        <f>IFERROR(__xludf.DUMMYFUNCTION("ROUND((IFERROR(VALUE(REGEXEXTRACT(B3,""(\d+)h""))*3600,0)+IFERROR(VALUE(REGEXEXTRACT(B3,""(\d+)m""))*60,0)+IFERROR(VALUE(REGEXEXTRACT(B3,""(\d+)s"")),0))/(IFERROR(VALUE(REGEXEXTRACT(C3,""(\d+)h""))*3600,0)+IFERROR(VALUE(REGEXEXTRACT(C3,""(\d+)m""))*60,0)+"&amp;"IFERROR(VALUE(REGEXEXTRACT(C3,""(\d+)s"")),0)),4)"),6.4127)</f>
        <v>6.4127</v>
      </c>
    </row>
    <row r="4">
      <c r="A4" s="6" t="s">
        <v>22</v>
      </c>
      <c r="B4" s="23" t="s">
        <v>70</v>
      </c>
      <c r="C4" s="23" t="s">
        <v>71</v>
      </c>
      <c r="D4" s="24">
        <f>IFERROR(__xludf.DUMMYFUNCTION("ROUND((IFERROR(VALUE(REGEXEXTRACT(B4,""(\d+)h""))*3600,0)+IFERROR(VALUE(REGEXEXTRACT(B4,""(\d+)m""))*60,0)+IFERROR(VALUE(REGEXEXTRACT(B4,""(\d+)s"")),0))/(IFERROR(VALUE(REGEXEXTRACT(C4,""(\d+)h""))*3600,0)+IFERROR(VALUE(REGEXEXTRACT(C4,""(\d+)m""))*60,0)+"&amp;"IFERROR(VALUE(REGEXEXTRACT(C4,""(\d+)s"")),0)),4)"),1.8524)</f>
        <v>1.8524</v>
      </c>
    </row>
    <row r="5">
      <c r="A5" s="6" t="s">
        <v>26</v>
      </c>
      <c r="B5" s="23" t="s">
        <v>72</v>
      </c>
      <c r="C5" s="23" t="s">
        <v>73</v>
      </c>
      <c r="D5" s="24">
        <f>IFERROR(__xludf.DUMMYFUNCTION("ROUND((IFERROR(VALUE(REGEXEXTRACT(B5,""(\d+)h""))*3600,0)+IFERROR(VALUE(REGEXEXTRACT(B5,""(\d+)m""))*60,0)+IFERROR(VALUE(REGEXEXTRACT(B5,""(\d+)s"")),0))/(IFERROR(VALUE(REGEXEXTRACT(C5,""(\d+)h""))*3600,0)+IFERROR(VALUE(REGEXEXTRACT(C5,""(\d+)m""))*60,0)+"&amp;"IFERROR(VALUE(REGEXEXTRACT(C5,""(\d+)s"")),0)),4)"),3.9224)</f>
        <v>3.9224</v>
      </c>
    </row>
    <row r="6">
      <c r="A6" s="6" t="s">
        <v>30</v>
      </c>
      <c r="B6" s="23" t="s">
        <v>74</v>
      </c>
      <c r="C6" s="23" t="s">
        <v>75</v>
      </c>
      <c r="D6" s="24">
        <f>IFERROR(__xludf.DUMMYFUNCTION("ROUND((IFERROR(VALUE(REGEXEXTRACT(B6,""(\d+)h""))*3600,0)+IFERROR(VALUE(REGEXEXTRACT(B6,""(\d+)m""))*60,0)+IFERROR(VALUE(REGEXEXTRACT(B6,""(\d+)s"")),0))/(IFERROR(VALUE(REGEXEXTRACT(C6,""(\d+)h""))*3600,0)+IFERROR(VALUE(REGEXEXTRACT(C6,""(\d+)m""))*60,0)+"&amp;"IFERROR(VALUE(REGEXEXTRACT(C6,""(\d+)s"")),0)),4)"),0.6807)</f>
        <v>0.6807</v>
      </c>
    </row>
    <row r="7">
      <c r="B7" s="25"/>
      <c r="C7" s="25"/>
      <c r="D7" s="25"/>
    </row>
    <row r="8">
      <c r="B8" s="25"/>
      <c r="C8" s="25"/>
      <c r="D8" s="25"/>
    </row>
    <row r="9">
      <c r="A9" s="5" t="s">
        <v>34</v>
      </c>
      <c r="B9" s="21" t="s">
        <v>9</v>
      </c>
      <c r="C9" s="21" t="s">
        <v>11</v>
      </c>
      <c r="D9" s="22" t="s">
        <v>12</v>
      </c>
    </row>
    <row r="10">
      <c r="A10" s="6" t="s">
        <v>14</v>
      </c>
      <c r="B10" s="23" t="s">
        <v>66</v>
      </c>
      <c r="C10" s="23" t="s">
        <v>76</v>
      </c>
      <c r="D10" s="24">
        <f>IFERROR(__xludf.DUMMYFUNCTION("ROUND((IFERROR(VALUE(REGEXEXTRACT(B10,""(\d+)h""))*3600,0)+IFERROR(VALUE(REGEXEXTRACT(B10,""(\d+)m""))*60,0)+IFERROR(VALUE(REGEXEXTRACT(B10,""(\d+)s"")),0))/(IFERROR(VALUE(REGEXEXTRACT(C10,""(\d+)h""))*3600,0)+IFERROR(VALUE(REGEXEXTRACT(C10,""(\d+)m""))*6"&amp;"0,0)+IFERROR(VALUE(REGEXEXTRACT(C10,""(\d+)s"")),0)),4)"),4.0307)</f>
        <v>4.0307</v>
      </c>
    </row>
    <row r="11">
      <c r="A11" s="6" t="s">
        <v>18</v>
      </c>
      <c r="B11" s="23" t="s">
        <v>68</v>
      </c>
      <c r="C11" s="23" t="s">
        <v>77</v>
      </c>
      <c r="D11" s="24">
        <f>IFERROR(__xludf.DUMMYFUNCTION("ROUND((IFERROR(VALUE(REGEXEXTRACT(B11,""(\d+)h""))*3600,0)+IFERROR(VALUE(REGEXEXTRACT(B11,""(\d+)m""))*60,0)+IFERROR(VALUE(REGEXEXTRACT(B11,""(\d+)s"")),0))/(IFERROR(VALUE(REGEXEXTRACT(C11,""(\d+)h""))*3600,0)+IFERROR(VALUE(REGEXEXTRACT(C11,""(\d+)m""))*6"&amp;"0,0)+IFERROR(VALUE(REGEXEXTRACT(C11,""(\d+)s"")),0)),4)"),9.4889)</f>
        <v>9.4889</v>
      </c>
    </row>
    <row r="12">
      <c r="A12" s="6" t="s">
        <v>22</v>
      </c>
      <c r="B12" s="23" t="s">
        <v>70</v>
      </c>
      <c r="C12" s="23" t="s">
        <v>78</v>
      </c>
      <c r="D12" s="24">
        <f>IFERROR(__xludf.DUMMYFUNCTION("ROUND((IFERROR(VALUE(REGEXEXTRACT(B12,""(\d+)h""))*3600,0)+IFERROR(VALUE(REGEXEXTRACT(B12,""(\d+)m""))*60,0)+IFERROR(VALUE(REGEXEXTRACT(B12,""(\d+)s"")),0))/(IFERROR(VALUE(REGEXEXTRACT(C12,""(\d+)h""))*3600,0)+IFERROR(VALUE(REGEXEXTRACT(C12,""(\d+)m""))*6"&amp;"0,0)+IFERROR(VALUE(REGEXEXTRACT(C12,""(\d+)s"")),0)),4)"),2.0974)</f>
        <v>2.0974</v>
      </c>
    </row>
    <row r="13">
      <c r="A13" s="6" t="s">
        <v>26</v>
      </c>
      <c r="B13" s="23" t="s">
        <v>72</v>
      </c>
      <c r="C13" s="23" t="s">
        <v>79</v>
      </c>
      <c r="D13" s="24">
        <f>IFERROR(__xludf.DUMMYFUNCTION("ROUND((IFERROR(VALUE(REGEXEXTRACT(B13,""(\d+)h""))*3600,0)+IFERROR(VALUE(REGEXEXTRACT(B13,""(\d+)m""))*60,0)+IFERROR(VALUE(REGEXEXTRACT(B13,""(\d+)s"")),0))/(IFERROR(VALUE(REGEXEXTRACT(C13,""(\d+)h""))*3600,0)+IFERROR(VALUE(REGEXEXTRACT(C13,""(\d+)m""))*6"&amp;"0,0)+IFERROR(VALUE(REGEXEXTRACT(C13,""(\d+)s"")),0)),4)"),6.1975)</f>
        <v>6.1975</v>
      </c>
    </row>
    <row r="14">
      <c r="A14" s="6" t="s">
        <v>30</v>
      </c>
      <c r="B14" s="23" t="s">
        <v>74</v>
      </c>
      <c r="C14" s="23" t="s">
        <v>80</v>
      </c>
      <c r="D14" s="24">
        <f>IFERROR(__xludf.DUMMYFUNCTION("ROUND((IFERROR(VALUE(REGEXEXTRACT(B14,""(\d+)h""))*3600,0)+IFERROR(VALUE(REGEXEXTRACT(B14,""(\d+)m""))*60,0)+IFERROR(VALUE(REGEXEXTRACT(B14,""(\d+)s"")),0))/(IFERROR(VALUE(REGEXEXTRACT(C14,""(\d+)h""))*3600,0)+IFERROR(VALUE(REGEXEXTRACT(C14,""(\d+)m""))*6"&amp;"0,0)+IFERROR(VALUE(REGEXEXTRACT(C14,""(\d+)s"")),0)),4)"),6.0488)</f>
        <v>6.0488</v>
      </c>
    </row>
    <row r="15">
      <c r="A15" s="7"/>
      <c r="B15" s="26"/>
      <c r="C15" s="26"/>
      <c r="D15" s="26"/>
    </row>
    <row r="16">
      <c r="B16" s="25"/>
      <c r="C16" s="25"/>
      <c r="D16" s="25"/>
    </row>
    <row r="17">
      <c r="A17" s="5" t="s">
        <v>40</v>
      </c>
      <c r="B17" s="21" t="s">
        <v>41</v>
      </c>
      <c r="C17" s="21" t="s">
        <v>43</v>
      </c>
      <c r="D17" s="22" t="s">
        <v>44</v>
      </c>
    </row>
    <row r="18">
      <c r="A18" s="6" t="s">
        <v>14</v>
      </c>
      <c r="B18" s="23">
        <v>38.697</v>
      </c>
      <c r="C18" s="23">
        <v>6.759</v>
      </c>
      <c r="D18" s="27">
        <f t="shared" ref="D18:D22" si="1">ROUND(1 - ((B18 - C18)/B18),4)</f>
        <v>0.1747</v>
      </c>
    </row>
    <row r="19">
      <c r="A19" s="6" t="s">
        <v>18</v>
      </c>
      <c r="B19" s="23">
        <v>126.032</v>
      </c>
      <c r="C19" s="23">
        <v>17.378</v>
      </c>
      <c r="D19" s="27">
        <f t="shared" si="1"/>
        <v>0.1379</v>
      </c>
    </row>
    <row r="20">
      <c r="A20" s="6" t="s">
        <v>22</v>
      </c>
      <c r="B20" s="23">
        <v>42.432</v>
      </c>
      <c r="C20" s="23">
        <v>7.078</v>
      </c>
      <c r="D20" s="27">
        <f t="shared" si="1"/>
        <v>0.1668</v>
      </c>
    </row>
    <row r="21">
      <c r="A21" s="6" t="s">
        <v>26</v>
      </c>
      <c r="B21" s="23">
        <v>144.716</v>
      </c>
      <c r="C21" s="23">
        <v>21.101</v>
      </c>
      <c r="D21" s="27">
        <f t="shared" si="1"/>
        <v>0.1458</v>
      </c>
      <c r="E21" s="7"/>
      <c r="F21" s="7"/>
    </row>
    <row r="22">
      <c r="A22" s="6" t="s">
        <v>30</v>
      </c>
      <c r="B22" s="23">
        <v>37.342</v>
      </c>
      <c r="C22" s="23">
        <v>5.396</v>
      </c>
      <c r="D22" s="27">
        <f t="shared" si="1"/>
        <v>0.1445</v>
      </c>
      <c r="E22" s="6"/>
      <c r="F22" s="11"/>
    </row>
    <row r="26">
      <c r="F26" s="11"/>
    </row>
    <row r="27">
      <c r="F27" s="11"/>
    </row>
    <row r="28">
      <c r="F28" s="11"/>
    </row>
    <row r="29">
      <c r="F29" s="11"/>
    </row>
    <row r="30">
      <c r="F3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0.38"/>
    <col customWidth="1" min="3" max="3" width="18.38"/>
    <col customWidth="1" min="4" max="4" width="38.0"/>
    <col customWidth="1" min="5" max="5" width="12.63"/>
  </cols>
  <sheetData>
    <row r="1">
      <c r="A1" s="28" t="s">
        <v>3</v>
      </c>
      <c r="B1" s="6" t="s">
        <v>9</v>
      </c>
      <c r="C1" s="6" t="s">
        <v>11</v>
      </c>
      <c r="D1" s="29" t="s">
        <v>12</v>
      </c>
    </row>
    <row r="2">
      <c r="A2" s="6" t="s">
        <v>14</v>
      </c>
      <c r="B2" s="30" t="s">
        <v>81</v>
      </c>
      <c r="C2" s="30" t="s">
        <v>82</v>
      </c>
      <c r="D2" s="24">
        <f>IFERROR(__xludf.DUMMYFUNCTION("ROUND((IFERROR(VALUE(REGEXEXTRACT(B2,""(\d+)h""))*3600,0)+IFERROR(VALUE(REGEXEXTRACT(B2,""(\d+)m""))*60,0)+IFERROR(VALUE(REGEXEXTRACT(B2,""(\d+)s"")),0))/(IFERROR(VALUE(REGEXEXTRACT(C2,""(\d+)h""))*3600,0)+IFERROR(VALUE(REGEXEXTRACT(C2,""(\d+)m""))*60,0)+"&amp;"IFERROR(VALUE(REGEXEXTRACT(C2,""(\d+)s"")),0)),4)"),1.7352)</f>
        <v>1.7352</v>
      </c>
    </row>
    <row r="3">
      <c r="A3" s="6" t="s">
        <v>18</v>
      </c>
      <c r="B3" s="30" t="s">
        <v>83</v>
      </c>
      <c r="C3" s="30" t="s">
        <v>84</v>
      </c>
      <c r="D3" s="24">
        <f>IFERROR(__xludf.DUMMYFUNCTION("ROUND((IFERROR(VALUE(REGEXEXTRACT(B3,""(\d+)h""))*3600,0)+IFERROR(VALUE(REGEXEXTRACT(B3,""(\d+)m""))*60,0)+IFERROR(VALUE(REGEXEXTRACT(B3,""(\d+)s"")),0))/(IFERROR(VALUE(REGEXEXTRACT(C3,""(\d+)h""))*3600,0)+IFERROR(VALUE(REGEXEXTRACT(C3,""(\d+)m""))*60,0)+"&amp;"IFERROR(VALUE(REGEXEXTRACT(C3,""(\d+)s"")),0)),4)"),2.6403)</f>
        <v>2.6403</v>
      </c>
    </row>
    <row r="4">
      <c r="A4" s="6" t="s">
        <v>22</v>
      </c>
      <c r="B4" s="30" t="s">
        <v>85</v>
      </c>
      <c r="C4" s="30" t="s">
        <v>86</v>
      </c>
      <c r="D4" s="24">
        <f>IFERROR(__xludf.DUMMYFUNCTION("ROUND((IFERROR(VALUE(REGEXEXTRACT(B4,""(\d+)h""))*3600,0)+IFERROR(VALUE(REGEXEXTRACT(B4,""(\d+)m""))*60,0)+IFERROR(VALUE(REGEXEXTRACT(B4,""(\d+)s"")),0))/(IFERROR(VALUE(REGEXEXTRACT(C4,""(\d+)h""))*3600,0)+IFERROR(VALUE(REGEXEXTRACT(C4,""(\d+)m""))*60,0)+"&amp;"IFERROR(VALUE(REGEXEXTRACT(C4,""(\d+)s"")),0)),4)"),2.7705)</f>
        <v>2.7705</v>
      </c>
    </row>
    <row r="5">
      <c r="A5" s="6" t="s">
        <v>26</v>
      </c>
      <c r="B5" s="30" t="s">
        <v>87</v>
      </c>
      <c r="C5" s="30" t="s">
        <v>88</v>
      </c>
      <c r="D5" s="24">
        <f>IFERROR(__xludf.DUMMYFUNCTION("ROUND((IFERROR(VALUE(REGEXEXTRACT(B5,""(\d+)h""))*3600,0)+IFERROR(VALUE(REGEXEXTRACT(B5,""(\d+)m""))*60,0)+IFERROR(VALUE(REGEXEXTRACT(B5,""(\d+)s"")),0))/(IFERROR(VALUE(REGEXEXTRACT(C5,""(\d+)h""))*3600,0)+IFERROR(VALUE(REGEXEXTRACT(C5,""(\d+)m""))*60,0)+"&amp;"IFERROR(VALUE(REGEXEXTRACT(C5,""(\d+)s"")),0)),4)"),9.4106)</f>
        <v>9.4106</v>
      </c>
    </row>
    <row r="6">
      <c r="A6" s="6" t="s">
        <v>30</v>
      </c>
      <c r="B6" s="30" t="s">
        <v>89</v>
      </c>
      <c r="C6" s="30" t="s">
        <v>90</v>
      </c>
      <c r="D6" s="24">
        <f>IFERROR(__xludf.DUMMYFUNCTION("ROUND((IFERROR(VALUE(REGEXEXTRACT(B6,""(\d+)h""))*3600,0)+IFERROR(VALUE(REGEXEXTRACT(B6,""(\d+)m""))*60,0)+IFERROR(VALUE(REGEXEXTRACT(B6,""(\d+)s"")),0))/(IFERROR(VALUE(REGEXEXTRACT(C6,""(\d+)h""))*3600,0)+IFERROR(VALUE(REGEXEXTRACT(C6,""(\d+)m""))*60,0)+"&amp;"IFERROR(VALUE(REGEXEXTRACT(C6,""(\d+)s"")),0)),4)"),0.5894)</f>
        <v>0.5894</v>
      </c>
    </row>
    <row r="7">
      <c r="A7" s="31"/>
      <c r="B7" s="16"/>
      <c r="C7" s="16"/>
      <c r="D7" s="16"/>
    </row>
    <row r="8">
      <c r="A8" s="31"/>
      <c r="B8" s="16"/>
      <c r="C8" s="16"/>
      <c r="D8" s="16"/>
    </row>
    <row r="9">
      <c r="A9" s="28" t="s">
        <v>34</v>
      </c>
      <c r="B9" s="6" t="s">
        <v>9</v>
      </c>
      <c r="C9" s="6" t="s">
        <v>11</v>
      </c>
      <c r="D9" s="29" t="s">
        <v>12</v>
      </c>
    </row>
    <row r="10">
      <c r="A10" s="6" t="s">
        <v>14</v>
      </c>
      <c r="B10" s="30" t="s">
        <v>81</v>
      </c>
      <c r="C10" s="30" t="s">
        <v>91</v>
      </c>
      <c r="D10" s="24">
        <f>IFERROR(__xludf.DUMMYFUNCTION("ROUND((IFERROR(VALUE(REGEXEXTRACT(B10,""(\d+)h""))*3600,0)+IFERROR(VALUE(REGEXEXTRACT(B10,""(\d+)m""))*60,0)+IFERROR(VALUE(REGEXEXTRACT(B10,""(\d+)s"")),0))/(IFERROR(VALUE(REGEXEXTRACT(C10,""(\d+)h""))*3600,0)+IFERROR(VALUE(REGEXEXTRACT(C10,""(\d+)m""))*6"&amp;"0,0)+IFERROR(VALUE(REGEXEXTRACT(C10,""(\d+)s"")),0)),4)"),21.4231)</f>
        <v>21.4231</v>
      </c>
    </row>
    <row r="11">
      <c r="A11" s="6" t="s">
        <v>18</v>
      </c>
      <c r="B11" s="30" t="s">
        <v>83</v>
      </c>
      <c r="C11" s="30" t="s">
        <v>92</v>
      </c>
      <c r="D11" s="24">
        <f>IFERROR(__xludf.DUMMYFUNCTION("ROUND((IFERROR(VALUE(REGEXEXTRACT(B11,""(\d+)h""))*3600,0)+IFERROR(VALUE(REGEXEXTRACT(B11,""(\d+)m""))*60,0)+IFERROR(VALUE(REGEXEXTRACT(B11,""(\d+)s"")),0))/(IFERROR(VALUE(REGEXEXTRACT(C11,""(\d+)h""))*3600,0)+IFERROR(VALUE(REGEXEXTRACT(C11,""(\d+)m""))*6"&amp;"0,0)+IFERROR(VALUE(REGEXEXTRACT(C11,""(\d+)s"")),0)),4)"),40.371)</f>
        <v>40.371</v>
      </c>
    </row>
    <row r="12">
      <c r="A12" s="6" t="s">
        <v>22</v>
      </c>
      <c r="B12" s="30" t="s">
        <v>85</v>
      </c>
      <c r="C12" s="30" t="s">
        <v>93</v>
      </c>
      <c r="D12" s="24">
        <f>IFERROR(__xludf.DUMMYFUNCTION("ROUND((IFERROR(VALUE(REGEXEXTRACT(B12,""(\d+)h""))*3600,0)+IFERROR(VALUE(REGEXEXTRACT(B12,""(\d+)m""))*60,0)+IFERROR(VALUE(REGEXEXTRACT(B12,""(\d+)s"")),0))/(IFERROR(VALUE(REGEXEXTRACT(C12,""(\d+)h""))*3600,0)+IFERROR(VALUE(REGEXEXTRACT(C12,""(\d+)m""))*6"&amp;"0,0)+IFERROR(VALUE(REGEXEXTRACT(C12,""(\d+)s"")),0)),4)"),26.4063)</f>
        <v>26.4063</v>
      </c>
    </row>
    <row r="13">
      <c r="A13" s="6" t="s">
        <v>26</v>
      </c>
      <c r="B13" s="30" t="s">
        <v>87</v>
      </c>
      <c r="C13" s="30" t="s">
        <v>94</v>
      </c>
      <c r="D13" s="24">
        <f>IFERROR(__xludf.DUMMYFUNCTION("ROUND((IFERROR(VALUE(REGEXEXTRACT(B13,""(\d+)h""))*3600,0)+IFERROR(VALUE(REGEXEXTRACT(B13,""(\d+)m""))*60,0)+IFERROR(VALUE(REGEXEXTRACT(B13,""(\d+)s"")),0))/(IFERROR(VALUE(REGEXEXTRACT(C13,""(\d+)h""))*3600,0)+IFERROR(VALUE(REGEXEXTRACT(C13,""(\d+)m""))*6"&amp;"0,0)+IFERROR(VALUE(REGEXEXTRACT(C13,""(\d+)s"")),0)),4)"),85.7407)</f>
        <v>85.7407</v>
      </c>
    </row>
    <row r="14">
      <c r="A14" s="6" t="s">
        <v>30</v>
      </c>
      <c r="B14" s="30" t="s">
        <v>89</v>
      </c>
      <c r="C14" s="30" t="s">
        <v>95</v>
      </c>
      <c r="D14" s="24">
        <f>IFERROR(__xludf.DUMMYFUNCTION("ROUND((IFERROR(VALUE(REGEXEXTRACT(B14,""(\d+)h""))*3600,0)+IFERROR(VALUE(REGEXEXTRACT(B14,""(\d+)m""))*60,0)+IFERROR(VALUE(REGEXEXTRACT(B14,""(\d+)s"")),0))/(IFERROR(VALUE(REGEXEXTRACT(C14,""(\d+)h""))*3600,0)+IFERROR(VALUE(REGEXEXTRACT(C14,""(\d+)m""))*6"&amp;"0,0)+IFERROR(VALUE(REGEXEXTRACT(C14,""(\d+)s"")),0)),4)"),41.4286)</f>
        <v>41.4286</v>
      </c>
    </row>
    <row r="15">
      <c r="A15" s="17"/>
      <c r="B15" s="17"/>
      <c r="C15" s="17"/>
      <c r="D15" s="17"/>
    </row>
    <row r="16">
      <c r="A16" s="32"/>
      <c r="B16" s="32"/>
      <c r="C16" s="32"/>
      <c r="D16" s="32"/>
    </row>
    <row r="17">
      <c r="A17" s="28" t="s">
        <v>40</v>
      </c>
      <c r="B17" s="6" t="s">
        <v>41</v>
      </c>
      <c r="C17" s="6" t="s">
        <v>43</v>
      </c>
      <c r="D17" s="29" t="s">
        <v>44</v>
      </c>
    </row>
    <row r="18">
      <c r="A18" s="6" t="s">
        <v>14</v>
      </c>
      <c r="B18" s="33">
        <v>30.612</v>
      </c>
      <c r="C18" s="33">
        <v>2.024</v>
      </c>
      <c r="D18" s="34">
        <f t="shared" ref="D18:D22" si="1">ROUND(1 - ((B18 - C18)/B18),4)</f>
        <v>0.0661</v>
      </c>
    </row>
    <row r="19">
      <c r="A19" s="6" t="s">
        <v>18</v>
      </c>
      <c r="B19" s="33">
        <v>91.257</v>
      </c>
      <c r="C19" s="33">
        <v>5.945</v>
      </c>
      <c r="D19" s="34">
        <f t="shared" si="1"/>
        <v>0.0651</v>
      </c>
    </row>
    <row r="20">
      <c r="A20" s="6" t="s">
        <v>22</v>
      </c>
      <c r="B20" s="33">
        <v>33.544</v>
      </c>
      <c r="C20" s="33">
        <v>2.095</v>
      </c>
      <c r="D20" s="34">
        <f t="shared" si="1"/>
        <v>0.0625</v>
      </c>
    </row>
    <row r="21">
      <c r="A21" s="6" t="s">
        <v>26</v>
      </c>
      <c r="B21" s="33">
        <v>109.033</v>
      </c>
      <c r="C21" s="33">
        <v>7.372</v>
      </c>
      <c r="D21" s="34">
        <f t="shared" si="1"/>
        <v>0.0676</v>
      </c>
    </row>
    <row r="22">
      <c r="A22" s="6" t="s">
        <v>30</v>
      </c>
      <c r="B22" s="33">
        <v>28.726</v>
      </c>
      <c r="C22" s="33">
        <v>1.666</v>
      </c>
      <c r="D22" s="34">
        <f t="shared" si="1"/>
        <v>0.058</v>
      </c>
    </row>
    <row r="24">
      <c r="E24" s="7"/>
      <c r="F24" s="7"/>
    </row>
    <row r="27">
      <c r="F27" s="11"/>
    </row>
    <row r="28">
      <c r="F28" s="11"/>
    </row>
    <row r="29">
      <c r="F29" s="11"/>
    </row>
    <row r="30">
      <c r="F30" s="11"/>
    </row>
    <row r="31">
      <c r="F31" s="11"/>
    </row>
  </sheetData>
  <drawing r:id="rId1"/>
</worksheet>
</file>